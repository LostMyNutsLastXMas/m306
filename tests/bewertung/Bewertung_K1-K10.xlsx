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nleitung" sheetId="1" state="visible" r:id="rId3"/>
    <sheet name="K1–K4 pro Prompt" sheetId="2" state="visible" r:id="rId4"/>
    <sheet name="Nutzwert" sheetId="3" state="visible" r:id="rId5"/>
    <sheet name="Skal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<sst xmlns="http://schemas.openxmlformats.org/spreadsheetml/2006/main" count="188" uniqueCount="132">
  <si>
    <t xml:space="preserve">Bewertung Nutzwertanalyse – KI-Bildgeneratoren (M306)</t>
  </si>
  <si>
    <t xml:space="preserve">Stand: 25.10.2026 · Hunger, Weisshaar</t>
  </si>
  <si>
    <t xml:space="preserve">So funktioniert die Tabelle</t>
  </si>
  <si>
    <t xml:space="preserve">• Spalten «Lucas» (blaue Zahlen): Bewertungsvorschlag – bitte prüfen und bei Bedarf ändern.</t>
  </si>
  <si>
    <t xml:space="preserve">• Spalten «Nicolas» (gelbe Zellen): unabhängig bewerten, ganze Punkte 1–5 nach der Skala (Blatt «Skala»).</t>
  </si>
  <si>
    <t xml:space="preserve">• Spalten «Ø»: Mittelwert beider Bewertungen, wird automatisch berechnet.</t>
  </si>
  <si>
    <t xml:space="preserve">• Rot markiert: Lucas und Nicolas liegen 2 oder mehr Punkte auseinander → gemeinsam anschauen und neu bewerten (Risiko R3).</t>
  </si>
  <si>
    <t xml:space="preserve">• Blatt «K1–K4 pro Prompt»: Bildqualität, Prompt-Treue, Text im Bild und Stil pro Test-Prompt; pro Tool zählt der Durchschnitt.</t>
  </si>
  <si>
    <t xml:space="preserve">• Blatt «Nutzwert»: Durchschnitte K1–K4, Bewertungen K5–K10, Nutzwert = Σ(Gewichtung × Ø), maximal 5,0.</t>
  </si>
  <si>
    <t xml:space="preserve">• Muss-Kriterien K6 und K9: Mit 1 Punkt scheidet ein Tool aus. Bei Gleichstand entscheidet K1.</t>
  </si>
  <si>
    <t xml:space="preserve">Stand der Bewertung</t>
  </si>
  <si>
    <t xml:space="preserve">• Beide Bewertungen sind abgeschlossen (Nicolas am 25.10.2026). Die Nutzwertanalyse rechnet mit den Mittelwerten.</t>
  </si>
  <si>
    <t xml:space="preserve">• K5–K10 «Lucas» stammen aus dem Word-Dokument (Stand 12.10.2026).</t>
  </si>
  <si>
    <t xml:space="preserve">• ChatGPT P5 und P6 am 12.10.2026 mit einem zweiten Gratis-Konto getestet, weil das Tageslimit des ersten Kontos erreicht war.</t>
  </si>
  <si>
    <t xml:space="preserve">K1–K4 pro Test-Prompt</t>
  </si>
  <si>
    <t xml:space="preserve">Ganze Punkte 1–5 (siehe Blatt «Skala»).</t>
  </si>
  <si>
    <t xml:space="preserve">Tool</t>
  </si>
  <si>
    <t xml:space="preserve">Prompt</t>
  </si>
  <si>
    <t xml:space="preserve">K1 Bildqualität (20 %)</t>
  </si>
  <si>
    <t xml:space="preserve">K2 Prompt-Treue (15 %)</t>
  </si>
  <si>
    <t xml:space="preserve">K3 Text im Bild (10 %)</t>
  </si>
  <si>
    <t xml:space="preserve">K4 Stilvielfalt (10 %)</t>
  </si>
  <si>
    <t xml:space="preserve">Begründung (Vorschlag Lucas)</t>
  </si>
  <si>
    <t xml:space="preserve">Lucas</t>
  </si>
  <si>
    <t xml:space="preserve">Nicolas</t>
  </si>
  <si>
    <t xml:space="preserve">Ø</t>
  </si>
  <si>
    <t xml:space="preserve">Gemini</t>
  </si>
  <si>
    <t xml:space="preserve">P1</t>
  </si>
  <si>
    <t xml:space="preserve">Sauberes Aquarell, alle Elemente da; zusätzlich nicht verlangter Text «Happy Birthday!» auf dem Kuchen.</t>
  </si>
  <si>
    <t xml:space="preserve">P2</t>
  </si>
  <si>
    <t xml:space="preserve">Fotorealistisch, «Fröhliche Weihnachten» korrekt; Text steht im oberen Drittel statt in der Mitte.</t>
  </si>
  <si>
    <t xml:space="preserve">P3</t>
  </si>
  <si>
    <t xml:space="preserve">Flache Vektor-Illustration in Blau/Grau; die Personen schauen eher zueinander als aufs Whiteboard.</t>
  </si>
  <si>
    <t xml:space="preserve">P4</t>
  </si>
  <si>
    <t xml:space="preserve">Text korrekt; zusätzlich nicht verlangte Texte «TEAM WORKSHOP 2024» (falsches Jahr) und «Let's innovate together!»; Farben eher kräftig statt weich.</t>
  </si>
  <si>
    <t xml:space="preserve">P5</t>
  </si>
  <si>
    <t xml:space="preserve">Comic gelungen, Sprechblase korrekt; die To-do-Liste auf dem Bildschirm ist unlesbares Kauderwelsch.</t>
  </si>
  <si>
    <t xml:space="preserve">P6</t>
  </si>
  <si>
    <t xml:space="preserve">Retro-Postkarte gelungen, «Zurück am Montag» korrekt; Laptop ist aufgeklappt statt zugeklappt.</t>
  </si>
  <si>
    <t xml:space="preserve">ChatGPT</t>
  </si>
  <si>
    <t xml:space="preserve">Alle Elemente umgesetzt, Text korrekt (zweizeilig), klares Aquarell.</t>
  </si>
  <si>
    <t xml:space="preserve">Fotorealistisch, Text in der Mitte und korrekt.</t>
  </si>
  <si>
    <t xml:space="preserve">Vier Personen schauen aufs Whiteboard, Vektorstil in Blau/Grau, Text korrekt.</t>
  </si>
  <si>
    <t xml:space="preserve">Alle Elemente und Texte korrekt; wirkt eher fotorealistisch als wie eine 3D-Illustration.</t>
  </si>
  <si>
    <t xml:space="preserve">Alle Elemente umgesetzt, Sprechblase korrekt; zusätzliche Texte (Tasse, Notizblock, Plakat) passend und fehlerfrei.</t>
  </si>
  <si>
    <t xml:space="preserve">Retro-Postkarte gelungen, alle Elemente da (Laptop zugeklappt); Text oben korrekt.</t>
  </si>
  <si>
    <t xml:space="preserve">Leonardo.Ai</t>
  </si>
  <si>
    <t xml:space="preserve">Alle Elemente umgesetzt, Text korrekt; Aquarell vor allem im Hintergrund, Kuchen eher digital gemalt.</t>
  </si>
  <si>
    <t xml:space="preserve">Fotorealistisch, Text in der Mitte korrekt; Gemini-Wasserzeichen unten rechts (siehe K10).</t>
  </si>
  <si>
    <t xml:space="preserve">Alle Elemente umgesetzt, Text korrekt, Vektorstil in Blau/Grau.</t>
  </si>
  <si>
    <t xml:space="preserve">Pinnwand in weicher 3D-Optik, Text korrekt.</t>
  </si>
  <si>
    <t xml:space="preserve">Comic gelungen, Sprechblase korrekt; Tippfehler «WÄSSTE» statt «WÜSSTE» auf dem Notizblock.</t>
  </si>
  <si>
    <t xml:space="preserve">Retro-Postkarte gelungen, alle Elemente da; Text oben korrekt (das «ü» in Schreibschrift sieht nur aus wie «ii»).</t>
  </si>
  <si>
    <t xml:space="preserve">Nutzwertanalyse – Übersicht</t>
  </si>
  <si>
    <t xml:space="preserve">Ø = Mittelwert Lucas/Nicolas; K1–K4 = Durchschnitt über die Test-Prompts. Werte auf eine Nachkommastelle gerundet.</t>
  </si>
  <si>
    <t xml:space="preserve">Kriterium</t>
  </si>
  <si>
    <t xml:space="preserve">Gewichtung</t>
  </si>
  <si>
    <t xml:space="preserve">Muss</t>
  </si>
  <si>
    <t xml:space="preserve">Begründung</t>
  </si>
  <si>
    <t xml:space="preserve">K1 Bildqualität</t>
  </si>
  <si>
    <t xml:space="preserve">–</t>
  </si>
  <si>
    <t xml:space="preserve">Abzüge: Gemini P5 (Kauderwelsch auf dem Bildschirm), Leonardo.Ai P5 (Tippfehler auf dem Notizblock).</t>
  </si>
  <si>
    <t xml:space="preserve">K2 Prompt-Treue</t>
  </si>
  <si>
    <t xml:space="preserve">Gemini fügt mehrfach Ungefragtes hinzu (z.B. «TEAM WORKSHOP 2024») oder weicht ab (offener Laptop).</t>
  </si>
  <si>
    <t xml:space="preserve">K3 Text im Bild</t>
  </si>
  <si>
    <t xml:space="preserve">Verlangter Text bei allen Bildern fehlerfrei; Fehler nur in Nebentexten (siehe K1).</t>
  </si>
  <si>
    <t xml:space="preserve">K4 Stilvielfalt</t>
  </si>
  <si>
    <t xml:space="preserve">Abzüge: Gemini P4 (kräftige Farben), ChatGPT P4 (eher Foto als 3D), Leonardo.Ai P1 (Aquarell nur teilweise).</t>
  </si>
  <si>
    <t xml:space="preserve">K5 Anpassen per Folge-Prompt</t>
  </si>
  <si>
    <t xml:space="preserve">Leonardo.Ai: Änderung umgesetzt, aber vier statt drei Ballone (zusätzlich Gelb).</t>
  </si>
  <si>
    <t xml:space="preserve">K6 Kostenlos nutzbar</t>
  </si>
  <si>
    <t xml:space="preserve">Ja</t>
  </si>
  <si>
    <t xml:space="preserve">Alle drei Tools bieten einen Gratis-Plan an.</t>
  </si>
  <si>
    <t xml:space="preserve">K7 Gratis-Kontingent</t>
  </si>
  <si>
    <t xml:space="preserve">ChatGPT: max. 5 Bilder pro Tag. Leonardo.Ai: 150 Tokens pro Tag, 8 pro Bild (ca. 18 Bilder). Gemini: kein festes Limit, Kontingent alle 5 Stunden erneuert (Google o. J.).</t>
  </si>
  <si>
    <t xml:space="preserve">K8 Benutzerfreundlichkeit</t>
  </si>
  <si>
    <t xml:space="preserve">Leonardo.Ai: Oberfläche weicht stark ab, Eingabefeld für den Folge-Prompt schwer zu finden.</t>
  </si>
  <si>
    <t xml:space="preserve">K9 Nutzungsrechte und Datenschutz</t>
  </si>
  <si>
    <t xml:space="preserve">Leonardo.Ai: Eigentum widersprüchlich (Nutzungsbedingungen: Leonardo, Hilfe-Artikel: Nutzer); Gratis-Bilder sind öffentlich.</t>
  </si>
  <si>
    <t xml:space="preserve">K10 Download und Wasserzeichen</t>
  </si>
  <si>
    <t xml:space="preserve">Keine Wasserzeichen; nur Leonardo.Ai P2 mit Gemini-Wasserzeichen (Leonardo.Ai nutzt mehrere Bildgeneratoren).</t>
  </si>
  <si>
    <t xml:space="preserve">Total</t>
  </si>
  <si>
    <t xml:space="preserve">Nutzwert (max. 5,0)</t>
  </si>
  <si>
    <t xml:space="preserve">Muss-Kriterien K6 und K9</t>
  </si>
  <si>
    <t xml:space="preserve">Rang</t>
  </si>
  <si>
    <t xml:space="preserve">Nutzwert definitiv: Mittelwerte der Bewertungen von Lucas und Nicolas (25.10.2026).</t>
  </si>
  <si>
    <t xml:space="preserve">Bewertungsskala (aus dem Lastenheft)</t>
  </si>
  <si>
    <t xml:space="preserve">Werte dazwischen (4 und 2 Punkte) werden sinngemäss vergeben.</t>
  </si>
  <si>
    <t xml:space="preserve">#</t>
  </si>
  <si>
    <t xml:space="preserve">5 Punkte (sehr gut)</t>
  </si>
  <si>
    <t xml:space="preserve">3 Punkte (genügend)</t>
  </si>
  <si>
    <t xml:space="preserve">1 Punkt (ungenügend)</t>
  </si>
  <si>
    <t xml:space="preserve">K1</t>
  </si>
  <si>
    <t xml:space="preserve">scharf und stimmig, keine sichtbaren Fehler (z.B. Hände, Gesichter)</t>
  </si>
  <si>
    <t xml:space="preserve">brauchbar, kleine Fehler fallen beim genauen Hinsehen auf</t>
  </si>
  <si>
    <t xml:space="preserve">deutliche Fehler oder unscharf, nicht verwendbar</t>
  </si>
  <si>
    <t xml:space="preserve">K2</t>
  </si>
  <si>
    <t xml:space="preserve">alle Elemente des Prompts sind umgesetzt</t>
  </si>
  <si>
    <t xml:space="preserve">Hauptmotiv stimmt, einzelne Details fehlen oder sind falsch</t>
  </si>
  <si>
    <t xml:space="preserve">Bild passt kaum zum Prompt</t>
  </si>
  <si>
    <t xml:space="preserve">K3</t>
  </si>
  <si>
    <t xml:space="preserve">Text vollständig und fehlerfrei</t>
  </si>
  <si>
    <t xml:space="preserve">Text lesbar, aber mit kleinen Fehlern</t>
  </si>
  <si>
    <t xml:space="preserve">Text fehlt oder ist unleserlich</t>
  </si>
  <si>
    <t xml:space="preserve">K4</t>
  </si>
  <si>
    <t xml:space="preserve">verlangter Stil (z.B. Foto, Aquarell, Comic) genau getroffen</t>
  </si>
  <si>
    <t xml:space="preserve">Stil erkennbar, aber nicht durchgehend umgesetzt</t>
  </si>
  <si>
    <t xml:space="preserve">Stilvorgabe ignoriert</t>
  </si>
  <si>
    <t xml:space="preserve">K5</t>
  </si>
  <si>
    <t xml:space="preserve">Änderung umgesetzt, der Rest des Bildes bleibt gleich</t>
  </si>
  <si>
    <t xml:space="preserve">Änderung umgesetzt, aber das Bild verändert sich stark</t>
  </si>
  <si>
    <t xml:space="preserve">Änderung nicht möglich oder nicht umgesetzt</t>
  </si>
  <si>
    <t xml:space="preserve">K6</t>
  </si>
  <si>
    <t xml:space="preserve">alle Funktionen gratis, ohne Abo und ohne Zahlungsmittel</t>
  </si>
  <si>
    <t xml:space="preserve">gratis nutzbar, aber mit häufigen Hinweisen auf ein Abo</t>
  </si>
  <si>
    <t xml:space="preserve">Abo oder Zahlungsmittel nötig: Muss nicht erfüllt, Tool scheidet aus</t>
  </si>
  <si>
    <t xml:space="preserve">K7</t>
  </si>
  <si>
    <t xml:space="preserve">mehr als 20 Bilder pro Tag</t>
  </si>
  <si>
    <t xml:space="preserve">5–9 Bilder pro Tag</t>
  </si>
  <si>
    <t xml:space="preserve">höchstens 2 Bilder pro Tag</t>
  </si>
  <si>
    <t xml:space="preserve">K8</t>
  </si>
  <si>
    <t xml:space="preserve">Registrierung und erstes Bild ohne Hilfe in unter 5 Minuten</t>
  </si>
  <si>
    <t xml:space="preserve">erstes Bild mit etwas Suchen in 5–10 Minuten</t>
  </si>
  <si>
    <t xml:space="preserve">unübersichtlich, ohne Hilfe nicht zu schaffen</t>
  </si>
  <si>
    <t xml:space="preserve">K9</t>
  </si>
  <si>
    <t xml:space="preserve">private und berufliche Nutzung erlaubt, Bilder bleiben privat</t>
  </si>
  <si>
    <t xml:space="preserve">Nutzung erlaubt, aber Bilder standardmässig öffentlich</t>
  </si>
  <si>
    <t xml:space="preserve">berufliche Nutzung nicht erlaubt: Muss nicht erfüllt, Tool scheidet aus</t>
  </si>
  <si>
    <t xml:space="preserve">K10</t>
  </si>
  <si>
    <t xml:space="preserve">Download in voller Auflösung, ohne sichtbares Wasserzeichen</t>
  </si>
  <si>
    <t xml:space="preserve">Download möglich, aber kleines Wasserzeichen oder geringe Auflösung</t>
  </si>
  <si>
    <t xml:space="preserve">kein Download oder grosses, störendes Wasserzeichen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</si>
</sst>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%"/>
    <numFmt numFmtId="167" formatCode="General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 t="s">
        <v>5</v>
      </c>
    </row>
    <row r="8" customFormat="false" ht="15" hidden="false" customHeight="true" outlineLevel="0" collapsed="false">
      <c r="A8" s="4" t="s">
        <v>6</v>
      </c>
    </row>
    <row r="9" customFormat="false" ht="15" hidden="false" customHeight="true" outlineLevel="0" collapsed="false">
      <c r="A9" s="4" t="s">
        <v>7</v>
      </c>
    </row>
    <row r="10" customFormat="false" ht="15" hidden="false" customHeight="true" outlineLevel="0" collapsed="false">
      <c r="A10" s="4" t="s">
        <v>8</v>
      </c>
    </row>
    <row r="11" customFormat="false" ht="15" hidden="false" customHeight="true" outlineLevel="0" collapsed="false">
      <c r="A11" s="4" t="s">
        <v>9</v>
      </c>
    </row>
    <row r="12" customFormat="false" ht="15" hidden="false" customHeight="true" outlineLevel="0" collapsed="false">
      <c r="A12" s="4"/>
    </row>
    <row r="13" customFormat="false" ht="15" hidden="false" customHeight="true" outlineLevel="0" collapsed="false">
      <c r="A13" s="5" t="s">
        <v>10</v>
      </c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4" t="s">
        <v>13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&amp;CM306 – Bewertung Nutzwertanalyse | Hunger, Weisshaar</oddHeader>
    <oddFooter>&amp;LStand 12.10.2026&amp;RSeite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D26" activeCellId="0" sqref="D2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14" min="3" style="1" width="8.42"/>
    <col collapsed="false" customWidth="true" hidden="false" outlineLevel="0" max="15" min="15" style="1" width="70"/>
  </cols>
  <sheetData>
    <row r="1" customFormat="false" ht="15" hidden="false" customHeight="true" outlineLevel="0" collapsed="false">
      <c r="A1" s="6" t="s">
        <v>14</v>
      </c>
    </row>
    <row r="2" customFormat="false" ht="15" hidden="false" customHeight="true" outlineLevel="0" collapsed="false">
      <c r="A2" s="3" t="s">
        <v>15</v>
      </c>
    </row>
    <row r="3" customFormat="false" ht="15" hidden="false" customHeight="true" outlineLevel="0" collapsed="false">
      <c r="A3" s="7" t="s">
        <v>16</v>
      </c>
      <c r="B3" s="7" t="s">
        <v>17</v>
      </c>
      <c r="C3" s="7" t="s">
        <v>18</v>
      </c>
      <c r="D3" s="7"/>
      <c r="E3" s="7"/>
      <c r="F3" s="7" t="s">
        <v>19</v>
      </c>
      <c r="G3" s="7"/>
      <c r="H3" s="7"/>
      <c r="I3" s="7" t="s">
        <v>20</v>
      </c>
      <c r="J3" s="7"/>
      <c r="K3" s="7"/>
      <c r="L3" s="7" t="s">
        <v>21</v>
      </c>
      <c r="M3" s="7"/>
      <c r="N3" s="7"/>
      <c r="O3" s="7" t="s">
        <v>22</v>
      </c>
    </row>
    <row r="4" customFormat="false" ht="15" hidden="false" customHeight="true" outlineLevel="0" collapsed="false">
      <c r="A4" s="7"/>
      <c r="B4" s="7"/>
      <c r="C4" s="7" t="s">
        <v>23</v>
      </c>
      <c r="D4" s="7" t="s">
        <v>24</v>
      </c>
      <c r="E4" s="7" t="s">
        <v>25</v>
      </c>
      <c r="F4" s="7" t="s">
        <v>23</v>
      </c>
      <c r="G4" s="7" t="s">
        <v>24</v>
      </c>
      <c r="H4" s="7" t="s">
        <v>25</v>
      </c>
      <c r="I4" s="7" t="s">
        <v>23</v>
      </c>
      <c r="J4" s="7" t="s">
        <v>24</v>
      </c>
      <c r="K4" s="7" t="s">
        <v>25</v>
      </c>
      <c r="L4" s="7" t="s">
        <v>23</v>
      </c>
      <c r="M4" s="7" t="s">
        <v>24</v>
      </c>
      <c r="N4" s="7" t="s">
        <v>25</v>
      </c>
      <c r="O4" s="7"/>
    </row>
    <row r="5" customFormat="false" ht="30" hidden="false" customHeight="true" outlineLevel="0" collapsed="false">
      <c r="A5" s="8" t="s">
        <v>26</v>
      </c>
      <c r="B5" s="9" t="s">
        <v>27</v>
      </c>
      <c r="C5" s="10" t="n">
        <v>5</v>
      </c>
      <c r="D5" s="11" t="n">
        <v>4</v>
      </c>
      <c r="E5" s="12" t="n">
        <f aca="false">IF(COUNT(C5:D5)=0,"",AVERAGE(C5:D5))</f>
        <v>4.5</v>
      </c>
      <c r="F5" s="10" t="n">
        <v>4</v>
      </c>
      <c r="G5" s="11" t="n">
        <v>5</v>
      </c>
      <c r="H5" s="12" t="n">
        <f aca="false">IF(COUNT(F5:G5)=0,"",AVERAGE(F5:G5))</f>
        <v>4.5</v>
      </c>
      <c r="I5" s="10" t="n">
        <v>5</v>
      </c>
      <c r="J5" s="11" t="n">
        <v>5</v>
      </c>
      <c r="K5" s="12" t="n">
        <f aca="false">IF(COUNT(I5:J5)=0,"",AVERAGE(I5:J5))</f>
        <v>5</v>
      </c>
      <c r="L5" s="10" t="n">
        <v>5</v>
      </c>
      <c r="M5" s="11" t="n">
        <v>5</v>
      </c>
      <c r="N5" s="12" t="n">
        <f aca="false">IF(COUNT(L5:M5)=0,"",AVERAGE(L5:M5))</f>
        <v>5</v>
      </c>
      <c r="O5" s="13" t="s">
        <v>28</v>
      </c>
    </row>
    <row r="6" customFormat="false" ht="30" hidden="false" customHeight="true" outlineLevel="0" collapsed="false">
      <c r="A6" s="8" t="s">
        <v>26</v>
      </c>
      <c r="B6" s="9" t="s">
        <v>29</v>
      </c>
      <c r="C6" s="10" t="n">
        <v>5</v>
      </c>
      <c r="D6" s="11" t="n">
        <v>4</v>
      </c>
      <c r="E6" s="12" t="n">
        <f aca="false">IF(COUNT(C6:D6)=0,"",AVERAGE(C6:D6))</f>
        <v>4.5</v>
      </c>
      <c r="F6" s="10" t="n">
        <v>4</v>
      </c>
      <c r="G6" s="11" t="n">
        <v>4</v>
      </c>
      <c r="H6" s="12" t="n">
        <f aca="false">IF(COUNT(F6:G6)=0,"",AVERAGE(F6:G6))</f>
        <v>4</v>
      </c>
      <c r="I6" s="10" t="n">
        <v>5</v>
      </c>
      <c r="J6" s="11" t="n">
        <v>5</v>
      </c>
      <c r="K6" s="12" t="n">
        <f aca="false">IF(COUNT(I6:J6)=0,"",AVERAGE(I6:J6))</f>
        <v>5</v>
      </c>
      <c r="L6" s="10" t="n">
        <v>5</v>
      </c>
      <c r="M6" s="11" t="n">
        <v>5</v>
      </c>
      <c r="N6" s="12" t="n">
        <f aca="false">IF(COUNT(L6:M6)=0,"",AVERAGE(L6:M6))</f>
        <v>5</v>
      </c>
      <c r="O6" s="13" t="s">
        <v>30</v>
      </c>
    </row>
    <row r="7" customFormat="false" ht="30" hidden="false" customHeight="true" outlineLevel="0" collapsed="false">
      <c r="A7" s="8" t="s">
        <v>26</v>
      </c>
      <c r="B7" s="9" t="s">
        <v>31</v>
      </c>
      <c r="C7" s="10" t="n">
        <v>5</v>
      </c>
      <c r="D7" s="11" t="n">
        <v>4</v>
      </c>
      <c r="E7" s="12" t="n">
        <f aca="false">IF(COUNT(C7:D7)=0,"",AVERAGE(C7:D7))</f>
        <v>4.5</v>
      </c>
      <c r="F7" s="10" t="n">
        <v>4</v>
      </c>
      <c r="G7" s="11" t="n">
        <v>4</v>
      </c>
      <c r="H7" s="12" t="n">
        <f aca="false">IF(COUNT(F7:G7)=0,"",AVERAGE(F7:G7))</f>
        <v>4</v>
      </c>
      <c r="I7" s="10" t="n">
        <v>5</v>
      </c>
      <c r="J7" s="11" t="n">
        <v>5</v>
      </c>
      <c r="K7" s="12" t="n">
        <f aca="false">IF(COUNT(I7:J7)=0,"",AVERAGE(I7:J7))</f>
        <v>5</v>
      </c>
      <c r="L7" s="10" t="n">
        <v>5</v>
      </c>
      <c r="M7" s="11" t="n">
        <v>5</v>
      </c>
      <c r="N7" s="12" t="n">
        <f aca="false">IF(COUNT(L7:M7)=0,"",AVERAGE(L7:M7))</f>
        <v>5</v>
      </c>
      <c r="O7" s="13" t="s">
        <v>32</v>
      </c>
    </row>
    <row r="8" customFormat="false" ht="30" hidden="false" customHeight="true" outlineLevel="0" collapsed="false">
      <c r="A8" s="8" t="s">
        <v>26</v>
      </c>
      <c r="B8" s="9" t="s">
        <v>33</v>
      </c>
      <c r="C8" s="10" t="n">
        <v>5</v>
      </c>
      <c r="D8" s="11" t="n">
        <v>4</v>
      </c>
      <c r="E8" s="12" t="n">
        <f aca="false">IF(COUNT(C8:D8)=0,"",AVERAGE(C8:D8))</f>
        <v>4.5</v>
      </c>
      <c r="F8" s="10" t="n">
        <v>3</v>
      </c>
      <c r="G8" s="11" t="n">
        <v>3</v>
      </c>
      <c r="H8" s="12" t="n">
        <f aca="false">IF(COUNT(F8:G8)=0,"",AVERAGE(F8:G8))</f>
        <v>3</v>
      </c>
      <c r="I8" s="10" t="n">
        <v>5</v>
      </c>
      <c r="J8" s="11" t="n">
        <v>5</v>
      </c>
      <c r="K8" s="12" t="n">
        <f aca="false">IF(COUNT(I8:J8)=0,"",AVERAGE(I8:J8))</f>
        <v>5</v>
      </c>
      <c r="L8" s="10" t="n">
        <v>4</v>
      </c>
      <c r="M8" s="11" t="n">
        <v>5</v>
      </c>
      <c r="N8" s="12" t="n">
        <f aca="false">IF(COUNT(L8:M8)=0,"",AVERAGE(L8:M8))</f>
        <v>4.5</v>
      </c>
      <c r="O8" s="13" t="s">
        <v>34</v>
      </c>
    </row>
    <row r="9" customFormat="false" ht="30" hidden="false" customHeight="true" outlineLevel="0" collapsed="false">
      <c r="A9" s="8" t="s">
        <v>26</v>
      </c>
      <c r="B9" s="9" t="s">
        <v>35</v>
      </c>
      <c r="C9" s="10" t="n">
        <v>4</v>
      </c>
      <c r="D9" s="11" t="n">
        <v>4</v>
      </c>
      <c r="E9" s="12" t="n">
        <f aca="false">IF(COUNT(C9:D9)=0,"",AVERAGE(C9:D9))</f>
        <v>4</v>
      </c>
      <c r="F9" s="10" t="n">
        <v>5</v>
      </c>
      <c r="G9" s="11" t="n">
        <v>4</v>
      </c>
      <c r="H9" s="12" t="n">
        <f aca="false">IF(COUNT(F9:G9)=0,"",AVERAGE(F9:G9))</f>
        <v>4.5</v>
      </c>
      <c r="I9" s="10" t="n">
        <v>5</v>
      </c>
      <c r="J9" s="11" t="n">
        <v>4</v>
      </c>
      <c r="K9" s="12" t="n">
        <f aca="false">IF(COUNT(I9:J9)=0,"",AVERAGE(I9:J9))</f>
        <v>4.5</v>
      </c>
      <c r="L9" s="10" t="n">
        <v>5</v>
      </c>
      <c r="M9" s="11" t="n">
        <v>5</v>
      </c>
      <c r="N9" s="12" t="n">
        <f aca="false">IF(COUNT(L9:M9)=0,"",AVERAGE(L9:M9))</f>
        <v>5</v>
      </c>
      <c r="O9" s="13" t="s">
        <v>36</v>
      </c>
    </row>
    <row r="10" customFormat="false" ht="30" hidden="false" customHeight="true" outlineLevel="0" collapsed="false">
      <c r="A10" s="8" t="s">
        <v>26</v>
      </c>
      <c r="B10" s="9" t="s">
        <v>37</v>
      </c>
      <c r="C10" s="10" t="n">
        <v>5</v>
      </c>
      <c r="D10" s="11" t="n">
        <v>5</v>
      </c>
      <c r="E10" s="12" t="n">
        <f aca="false">IF(COUNT(C10:D10)=0,"",AVERAGE(C10:D10))</f>
        <v>5</v>
      </c>
      <c r="F10" s="10" t="n">
        <v>4</v>
      </c>
      <c r="G10" s="11" t="n">
        <v>1</v>
      </c>
      <c r="H10" s="12" t="n">
        <f aca="false">IF(COUNT(F10:G10)=0,"",AVERAGE(F10:G10))</f>
        <v>2.5</v>
      </c>
      <c r="I10" s="10" t="n">
        <v>5</v>
      </c>
      <c r="J10" s="11" t="n">
        <v>5</v>
      </c>
      <c r="K10" s="12" t="n">
        <f aca="false">IF(COUNT(I10:J10)=0,"",AVERAGE(I10:J10))</f>
        <v>5</v>
      </c>
      <c r="L10" s="10" t="n">
        <v>5</v>
      </c>
      <c r="M10" s="11" t="n">
        <v>3</v>
      </c>
      <c r="N10" s="12" t="n">
        <f aca="false">IF(COUNT(L10:M10)=0,"",AVERAGE(L10:M10))</f>
        <v>4</v>
      </c>
      <c r="O10" s="13" t="s">
        <v>38</v>
      </c>
    </row>
    <row r="11" customFormat="false" ht="30" hidden="false" customHeight="true" outlineLevel="0" collapsed="false">
      <c r="A11" s="8" t="s">
        <v>39</v>
      </c>
      <c r="B11" s="9" t="s">
        <v>27</v>
      </c>
      <c r="C11" s="10" t="n">
        <v>5</v>
      </c>
      <c r="D11" s="11" t="n">
        <v>3</v>
      </c>
      <c r="E11" s="12" t="n">
        <f aca="false">IF(COUNT(C11:D11)=0,"",AVERAGE(C11:D11))</f>
        <v>4</v>
      </c>
      <c r="F11" s="10" t="n">
        <v>5</v>
      </c>
      <c r="G11" s="11" t="n">
        <v>5</v>
      </c>
      <c r="H11" s="12" t="n">
        <f aca="false">IF(COUNT(F11:G11)=0,"",AVERAGE(F11:G11))</f>
        <v>5</v>
      </c>
      <c r="I11" s="10" t="n">
        <v>5</v>
      </c>
      <c r="J11" s="11" t="n">
        <v>5</v>
      </c>
      <c r="K11" s="12" t="n">
        <f aca="false">IF(COUNT(I11:J11)=0,"",AVERAGE(I11:J11))</f>
        <v>5</v>
      </c>
      <c r="L11" s="10" t="n">
        <v>5</v>
      </c>
      <c r="M11" s="11" t="n">
        <v>5</v>
      </c>
      <c r="N11" s="12" t="n">
        <f aca="false">IF(COUNT(L11:M11)=0,"",AVERAGE(L11:M11))</f>
        <v>5</v>
      </c>
      <c r="O11" s="13" t="s">
        <v>40</v>
      </c>
    </row>
    <row r="12" customFormat="false" ht="30" hidden="false" customHeight="true" outlineLevel="0" collapsed="false">
      <c r="A12" s="8" t="s">
        <v>39</v>
      </c>
      <c r="B12" s="9" t="s">
        <v>29</v>
      </c>
      <c r="C12" s="10" t="n">
        <v>5</v>
      </c>
      <c r="D12" s="11" t="n">
        <v>5</v>
      </c>
      <c r="E12" s="12" t="n">
        <f aca="false">IF(COUNT(C12:D12)=0,"",AVERAGE(C12:D12))</f>
        <v>5</v>
      </c>
      <c r="F12" s="10" t="n">
        <v>5</v>
      </c>
      <c r="G12" s="11" t="n">
        <v>5</v>
      </c>
      <c r="H12" s="12" t="n">
        <f aca="false">IF(COUNT(F12:G12)=0,"",AVERAGE(F12:G12))</f>
        <v>5</v>
      </c>
      <c r="I12" s="10" t="n">
        <v>5</v>
      </c>
      <c r="J12" s="11" t="n">
        <v>5</v>
      </c>
      <c r="K12" s="12" t="n">
        <f aca="false">IF(COUNT(I12:J12)=0,"",AVERAGE(I12:J12))</f>
        <v>5</v>
      </c>
      <c r="L12" s="10" t="n">
        <v>5</v>
      </c>
      <c r="M12" s="11" t="n">
        <v>5</v>
      </c>
      <c r="N12" s="12" t="n">
        <f aca="false">IF(COUNT(L12:M12)=0,"",AVERAGE(L12:M12))</f>
        <v>5</v>
      </c>
      <c r="O12" s="13" t="s">
        <v>41</v>
      </c>
    </row>
    <row r="13" customFormat="false" ht="30" hidden="false" customHeight="true" outlineLevel="0" collapsed="false">
      <c r="A13" s="8" t="s">
        <v>39</v>
      </c>
      <c r="B13" s="9" t="s">
        <v>31</v>
      </c>
      <c r="C13" s="10" t="n">
        <v>5</v>
      </c>
      <c r="D13" s="11" t="n">
        <v>5</v>
      </c>
      <c r="E13" s="12" t="n">
        <f aca="false">IF(COUNT(C13:D13)=0,"",AVERAGE(C13:D13))</f>
        <v>5</v>
      </c>
      <c r="F13" s="10" t="n">
        <v>5</v>
      </c>
      <c r="G13" s="11" t="n">
        <v>4</v>
      </c>
      <c r="H13" s="12" t="n">
        <f aca="false">IF(COUNT(F13:G13)=0,"",AVERAGE(F13:G13))</f>
        <v>4.5</v>
      </c>
      <c r="I13" s="10" t="n">
        <v>5</v>
      </c>
      <c r="J13" s="11" t="n">
        <v>5</v>
      </c>
      <c r="K13" s="12" t="n">
        <f aca="false">IF(COUNT(I13:J13)=0,"",AVERAGE(I13:J13))</f>
        <v>5</v>
      </c>
      <c r="L13" s="10" t="n">
        <v>5</v>
      </c>
      <c r="M13" s="11" t="n">
        <v>5</v>
      </c>
      <c r="N13" s="12" t="n">
        <f aca="false">IF(COUNT(L13:M13)=0,"",AVERAGE(L13:M13))</f>
        <v>5</v>
      </c>
      <c r="O13" s="13" t="s">
        <v>42</v>
      </c>
    </row>
    <row r="14" customFormat="false" ht="30" hidden="false" customHeight="true" outlineLevel="0" collapsed="false">
      <c r="A14" s="8" t="s">
        <v>39</v>
      </c>
      <c r="B14" s="9" t="s">
        <v>33</v>
      </c>
      <c r="C14" s="10" t="n">
        <v>5</v>
      </c>
      <c r="D14" s="11" t="n">
        <v>4</v>
      </c>
      <c r="E14" s="12" t="n">
        <f aca="false">IF(COUNT(C14:D14)=0,"",AVERAGE(C14:D14))</f>
        <v>4.5</v>
      </c>
      <c r="F14" s="10" t="n">
        <v>5</v>
      </c>
      <c r="G14" s="11" t="n">
        <v>5</v>
      </c>
      <c r="H14" s="12" t="n">
        <f aca="false">IF(COUNT(F14:G14)=0,"",AVERAGE(F14:G14))</f>
        <v>5</v>
      </c>
      <c r="I14" s="10" t="n">
        <v>5</v>
      </c>
      <c r="J14" s="11" t="n">
        <v>5</v>
      </c>
      <c r="K14" s="12" t="n">
        <f aca="false">IF(COUNT(I14:J14)=0,"",AVERAGE(I14:J14))</f>
        <v>5</v>
      </c>
      <c r="L14" s="10" t="n">
        <v>4</v>
      </c>
      <c r="M14" s="11" t="n">
        <v>5</v>
      </c>
      <c r="N14" s="12" t="n">
        <f aca="false">IF(COUNT(L14:M14)=0,"",AVERAGE(L14:M14))</f>
        <v>4.5</v>
      </c>
      <c r="O14" s="13" t="s">
        <v>43</v>
      </c>
    </row>
    <row r="15" customFormat="false" ht="30" hidden="false" customHeight="true" outlineLevel="0" collapsed="false">
      <c r="A15" s="8" t="s">
        <v>39</v>
      </c>
      <c r="B15" s="9" t="s">
        <v>35</v>
      </c>
      <c r="C15" s="10" t="n">
        <v>5</v>
      </c>
      <c r="D15" s="11" t="n">
        <v>5</v>
      </c>
      <c r="E15" s="12" t="n">
        <f aca="false">IF(COUNT(C15:D15)=0,"",AVERAGE(C15:D15))</f>
        <v>5</v>
      </c>
      <c r="F15" s="10" t="n">
        <v>5</v>
      </c>
      <c r="G15" s="11" t="n">
        <v>4</v>
      </c>
      <c r="H15" s="12" t="n">
        <f aca="false">IF(COUNT(F15:G15)=0,"",AVERAGE(F15:G15))</f>
        <v>4.5</v>
      </c>
      <c r="I15" s="10" t="n">
        <v>5</v>
      </c>
      <c r="J15" s="11" t="n">
        <v>5</v>
      </c>
      <c r="K15" s="12" t="n">
        <f aca="false">IF(COUNT(I15:J15)=0,"",AVERAGE(I15:J15))</f>
        <v>5</v>
      </c>
      <c r="L15" s="10" t="n">
        <v>5</v>
      </c>
      <c r="M15" s="11" t="n">
        <v>4</v>
      </c>
      <c r="N15" s="12" t="n">
        <f aca="false">IF(COUNT(L15:M15)=0,"",AVERAGE(L15:M15))</f>
        <v>4.5</v>
      </c>
      <c r="O15" s="13" t="s">
        <v>44</v>
      </c>
    </row>
    <row r="16" customFormat="false" ht="30" hidden="false" customHeight="true" outlineLevel="0" collapsed="false">
      <c r="A16" s="8" t="s">
        <v>39</v>
      </c>
      <c r="B16" s="9" t="s">
        <v>37</v>
      </c>
      <c r="C16" s="10" t="n">
        <v>5</v>
      </c>
      <c r="D16" s="11" t="n">
        <v>4</v>
      </c>
      <c r="E16" s="12" t="n">
        <f aca="false">IF(COUNT(C16:D16)=0,"",AVERAGE(C16:D16))</f>
        <v>4.5</v>
      </c>
      <c r="F16" s="10" t="n">
        <v>5</v>
      </c>
      <c r="G16" s="11" t="n">
        <v>5</v>
      </c>
      <c r="H16" s="12" t="n">
        <f aca="false">IF(COUNT(F16:G16)=0,"",AVERAGE(F16:G16))</f>
        <v>5</v>
      </c>
      <c r="I16" s="10" t="n">
        <v>5</v>
      </c>
      <c r="J16" s="11" t="n">
        <v>5</v>
      </c>
      <c r="K16" s="12" t="n">
        <f aca="false">IF(COUNT(I16:J16)=0,"",AVERAGE(I16:J16))</f>
        <v>5</v>
      </c>
      <c r="L16" s="10" t="n">
        <v>5</v>
      </c>
      <c r="M16" s="11" t="n">
        <v>5</v>
      </c>
      <c r="N16" s="12" t="n">
        <f aca="false">IF(COUNT(L16:M16)=0,"",AVERAGE(L16:M16))</f>
        <v>5</v>
      </c>
      <c r="O16" s="13" t="s">
        <v>45</v>
      </c>
    </row>
    <row r="17" customFormat="false" ht="30" hidden="false" customHeight="true" outlineLevel="0" collapsed="false">
      <c r="A17" s="8" t="s">
        <v>46</v>
      </c>
      <c r="B17" s="9" t="s">
        <v>27</v>
      </c>
      <c r="C17" s="10" t="n">
        <v>5</v>
      </c>
      <c r="D17" s="11" t="n">
        <v>4</v>
      </c>
      <c r="E17" s="12" t="n">
        <f aca="false">IF(COUNT(C17:D17)=0,"",AVERAGE(C17:D17))</f>
        <v>4.5</v>
      </c>
      <c r="F17" s="10" t="n">
        <v>5</v>
      </c>
      <c r="G17" s="11" t="n">
        <v>5</v>
      </c>
      <c r="H17" s="12" t="n">
        <f aca="false">IF(COUNT(F17:G17)=0,"",AVERAGE(F17:G17))</f>
        <v>5</v>
      </c>
      <c r="I17" s="10" t="n">
        <v>5</v>
      </c>
      <c r="J17" s="11" t="n">
        <v>5</v>
      </c>
      <c r="K17" s="12" t="n">
        <f aca="false">IF(COUNT(I17:J17)=0,"",AVERAGE(I17:J17))</f>
        <v>5</v>
      </c>
      <c r="L17" s="10" t="n">
        <v>4</v>
      </c>
      <c r="M17" s="11" t="n">
        <v>4</v>
      </c>
      <c r="N17" s="12" t="n">
        <f aca="false">IF(COUNT(L17:M17)=0,"",AVERAGE(L17:M17))</f>
        <v>4</v>
      </c>
      <c r="O17" s="13" t="s">
        <v>47</v>
      </c>
    </row>
    <row r="18" customFormat="false" ht="30" hidden="false" customHeight="true" outlineLevel="0" collapsed="false">
      <c r="A18" s="8" t="s">
        <v>46</v>
      </c>
      <c r="B18" s="9" t="s">
        <v>29</v>
      </c>
      <c r="C18" s="10" t="n">
        <v>5</v>
      </c>
      <c r="D18" s="11" t="n">
        <v>5</v>
      </c>
      <c r="E18" s="12" t="n">
        <f aca="false">IF(COUNT(C18:D18)=0,"",AVERAGE(C18:D18))</f>
        <v>5</v>
      </c>
      <c r="F18" s="10" t="n">
        <v>5</v>
      </c>
      <c r="G18" s="11" t="n">
        <v>3</v>
      </c>
      <c r="H18" s="12" t="n">
        <f aca="false">IF(COUNT(F18:G18)=0,"",AVERAGE(F18:G18))</f>
        <v>4</v>
      </c>
      <c r="I18" s="10" t="n">
        <v>5</v>
      </c>
      <c r="J18" s="11" t="n">
        <v>5</v>
      </c>
      <c r="K18" s="12" t="n">
        <f aca="false">IF(COUNT(I18:J18)=0,"",AVERAGE(I18:J18))</f>
        <v>5</v>
      </c>
      <c r="L18" s="10" t="n">
        <v>5</v>
      </c>
      <c r="M18" s="11" t="n">
        <v>5</v>
      </c>
      <c r="N18" s="12" t="n">
        <f aca="false">IF(COUNT(L18:M18)=0,"",AVERAGE(L18:M18))</f>
        <v>5</v>
      </c>
      <c r="O18" s="13" t="s">
        <v>48</v>
      </c>
    </row>
    <row r="19" customFormat="false" ht="30" hidden="false" customHeight="true" outlineLevel="0" collapsed="false">
      <c r="A19" s="8" t="s">
        <v>46</v>
      </c>
      <c r="B19" s="9" t="s">
        <v>31</v>
      </c>
      <c r="C19" s="10" t="n">
        <v>5</v>
      </c>
      <c r="D19" s="11" t="n">
        <v>4</v>
      </c>
      <c r="E19" s="12" t="n">
        <f aca="false">IF(COUNT(C19:D19)=0,"",AVERAGE(C19:D19))</f>
        <v>4.5</v>
      </c>
      <c r="F19" s="10" t="n">
        <v>5</v>
      </c>
      <c r="G19" s="11" t="n">
        <v>3</v>
      </c>
      <c r="H19" s="12" t="n">
        <f aca="false">IF(COUNT(F19:G19)=0,"",AVERAGE(F19:G19))</f>
        <v>4</v>
      </c>
      <c r="I19" s="10" t="n">
        <v>5</v>
      </c>
      <c r="J19" s="11" t="n">
        <v>5</v>
      </c>
      <c r="K19" s="12" t="n">
        <f aca="false">IF(COUNT(I19:J19)=0,"",AVERAGE(I19:J19))</f>
        <v>5</v>
      </c>
      <c r="L19" s="10" t="n">
        <v>5</v>
      </c>
      <c r="M19" s="11" t="n">
        <v>3</v>
      </c>
      <c r="N19" s="12" t="n">
        <f aca="false">IF(COUNT(L19:M19)=0,"",AVERAGE(L19:M19))</f>
        <v>4</v>
      </c>
      <c r="O19" s="13" t="s">
        <v>49</v>
      </c>
    </row>
    <row r="20" customFormat="false" ht="30" hidden="false" customHeight="true" outlineLevel="0" collapsed="false">
      <c r="A20" s="8" t="s">
        <v>46</v>
      </c>
      <c r="B20" s="9" t="s">
        <v>33</v>
      </c>
      <c r="C20" s="10" t="n">
        <v>5</v>
      </c>
      <c r="D20" s="11" t="n">
        <v>3</v>
      </c>
      <c r="E20" s="12" t="n">
        <f aca="false">IF(COUNT(C20:D20)=0,"",AVERAGE(C20:D20))</f>
        <v>4</v>
      </c>
      <c r="F20" s="10" t="n">
        <v>5</v>
      </c>
      <c r="G20" s="11" t="n">
        <v>5</v>
      </c>
      <c r="H20" s="12" t="n">
        <f aca="false">IF(COUNT(F20:G20)=0,"",AVERAGE(F20:G20))</f>
        <v>5</v>
      </c>
      <c r="I20" s="10" t="n">
        <v>5</v>
      </c>
      <c r="J20" s="11" t="n">
        <v>5</v>
      </c>
      <c r="K20" s="12" t="n">
        <f aca="false">IF(COUNT(I20:J20)=0,"",AVERAGE(I20:J20))</f>
        <v>5</v>
      </c>
      <c r="L20" s="10" t="n">
        <v>5</v>
      </c>
      <c r="M20" s="11" t="n">
        <v>5</v>
      </c>
      <c r="N20" s="12" t="n">
        <f aca="false">IF(COUNT(L20:M20)=0,"",AVERAGE(L20:M20))</f>
        <v>5</v>
      </c>
      <c r="O20" s="13" t="s">
        <v>50</v>
      </c>
    </row>
    <row r="21" customFormat="false" ht="30" hidden="false" customHeight="true" outlineLevel="0" collapsed="false">
      <c r="A21" s="8" t="s">
        <v>46</v>
      </c>
      <c r="B21" s="9" t="s">
        <v>35</v>
      </c>
      <c r="C21" s="10" t="n">
        <v>4</v>
      </c>
      <c r="D21" s="11" t="n">
        <v>4</v>
      </c>
      <c r="E21" s="12" t="n">
        <f aca="false">IF(COUNT(C21:D21)=0,"",AVERAGE(C21:D21))</f>
        <v>4</v>
      </c>
      <c r="F21" s="10" t="n">
        <v>5</v>
      </c>
      <c r="G21" s="11" t="n">
        <v>4</v>
      </c>
      <c r="H21" s="12" t="n">
        <f aca="false">IF(COUNT(F21:G21)=0,"",AVERAGE(F21:G21))</f>
        <v>4.5</v>
      </c>
      <c r="I21" s="10" t="n">
        <v>5</v>
      </c>
      <c r="J21" s="11" t="n">
        <v>4</v>
      </c>
      <c r="K21" s="12" t="n">
        <f aca="false">IF(COUNT(I21:J21)=0,"",AVERAGE(I21:J21))</f>
        <v>4.5</v>
      </c>
      <c r="L21" s="10" t="n">
        <v>5</v>
      </c>
      <c r="M21" s="11" t="n">
        <v>4</v>
      </c>
      <c r="N21" s="12" t="n">
        <f aca="false">IF(COUNT(L21:M21)=0,"",AVERAGE(L21:M21))</f>
        <v>4.5</v>
      </c>
      <c r="O21" s="13" t="s">
        <v>51</v>
      </c>
    </row>
    <row r="22" customFormat="false" ht="30" hidden="false" customHeight="true" outlineLevel="0" collapsed="false">
      <c r="A22" s="8" t="s">
        <v>46</v>
      </c>
      <c r="B22" s="9" t="s">
        <v>37</v>
      </c>
      <c r="C22" s="10" t="n">
        <v>5</v>
      </c>
      <c r="D22" s="11" t="n">
        <v>5</v>
      </c>
      <c r="E22" s="12" t="n">
        <f aca="false">IF(COUNT(C22:D22)=0,"",AVERAGE(C22:D22))</f>
        <v>5</v>
      </c>
      <c r="F22" s="10" t="n">
        <v>5</v>
      </c>
      <c r="G22" s="11" t="n">
        <v>5</v>
      </c>
      <c r="H22" s="12" t="n">
        <f aca="false">IF(COUNT(F22:G22)=0,"",AVERAGE(F22:G22))</f>
        <v>5</v>
      </c>
      <c r="I22" s="10" t="n">
        <v>5</v>
      </c>
      <c r="J22" s="11" t="n">
        <v>5</v>
      </c>
      <c r="K22" s="12" t="n">
        <f aca="false">IF(COUNT(I22:J22)=0,"",AVERAGE(I22:J22))</f>
        <v>5</v>
      </c>
      <c r="L22" s="10" t="n">
        <v>5</v>
      </c>
      <c r="M22" s="11" t="n">
        <v>3</v>
      </c>
      <c r="N22" s="12" t="n">
        <f aca="false">IF(COUNT(L22:M22)=0,"",AVERAGE(L22:M22))</f>
        <v>4</v>
      </c>
      <c r="O22" s="13" t="s">
        <v>52</v>
      </c>
    </row>
  </sheetData>
  <mergeCells count="7">
    <mergeCell ref="A3:A4"/>
    <mergeCell ref="B3:B4"/>
    <mergeCell ref="C3:E3"/>
    <mergeCell ref="F3:H3"/>
    <mergeCell ref="I3:K3"/>
    <mergeCell ref="L3:N3"/>
    <mergeCell ref="O3:O4"/>
  </mergeCells>
  <conditionalFormatting sqref="C5:D22">
    <cfRule type="expression" priority="2" aboveAverage="0" equalAverage="0" bottom="0" percent="0" rank="0" text="" dxfId="0">
      <formula>AND(ISNUMBER($C5),ISNUMBER($D5),ABS($C5-$D5)&gt;=2)</formula>
    </cfRule>
  </conditionalFormatting>
  <conditionalFormatting sqref="F5:G22">
    <cfRule type="expression" priority="3" aboveAverage="0" equalAverage="0" bottom="0" percent="0" rank="0" text="" dxfId="0">
      <formula>AND(ISNUMBER($F5),ISNUMBER($G5),ABS($F5-$G5)&gt;=2)</formula>
    </cfRule>
  </conditionalFormatting>
  <conditionalFormatting sqref="I5:J22">
    <cfRule type="expression" priority="4" aboveAverage="0" equalAverage="0" bottom="0" percent="0" rank="0" text="" dxfId="0">
      <formula>AND(ISNUMBER($I5),ISNUMBER($J5),ABS($I5-$J5)&gt;=2)</formula>
    </cfRule>
  </conditionalFormatting>
  <conditionalFormatting sqref="L5:M22">
    <cfRule type="expression" priority="5" aboveAverage="0" equalAverage="0" bottom="0" percent="0" rank="0" text="" dxfId="0">
      <formula>AND(ISNUMBER($L5),ISNUMBER($M5),ABS($L5-$M5)&gt;=2)</formula>
    </cfRule>
  </conditionalFormatting>
  <dataValidations count="1">
    <dataValidation allowBlank="true" error="Bitte ganze Punkte von 1 bis 5 eingeben." errorStyle="stop" errorTitle="Ungültige Bewertung" operator="between" showDropDown="false" showErrorMessage="false" showInputMessage="false" sqref="C5:D22 F5:G22 I5:J22 L5:M22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&amp;CM306 – Bewertung Nutzwertanalyse | Hunger, Weisshaar</oddHeader>
    <oddFooter>&amp;LStand 12.10.2026&amp;RSeite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J12" activeCellId="0" sqref="J1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"/>
    <col collapsed="false" customWidth="true" hidden="false" outlineLevel="0" max="3" min="3" style="1" width="7"/>
    <col collapsed="false" customWidth="true" hidden="false" outlineLevel="0" max="12" min="4" style="1" width="8.42"/>
    <col collapsed="false" customWidth="true" hidden="false" outlineLevel="0" max="13" min="13" style="1" width="60"/>
  </cols>
  <sheetData>
    <row r="1" customFormat="false" ht="15" hidden="false" customHeight="true" outlineLevel="0" collapsed="false">
      <c r="A1" s="6" t="s">
        <v>53</v>
      </c>
    </row>
    <row r="2" customFormat="false" ht="15" hidden="false" customHeight="true" outlineLevel="0" collapsed="false">
      <c r="A2" s="3" t="s">
        <v>54</v>
      </c>
    </row>
    <row r="3" customFormat="false" ht="15" hidden="false" customHeight="true" outlineLevel="0" collapsed="false">
      <c r="A3" s="7" t="s">
        <v>55</v>
      </c>
      <c r="B3" s="7" t="s">
        <v>56</v>
      </c>
      <c r="C3" s="7" t="s">
        <v>57</v>
      </c>
      <c r="D3" s="7" t="s">
        <v>26</v>
      </c>
      <c r="E3" s="7"/>
      <c r="F3" s="7"/>
      <c r="G3" s="7" t="s">
        <v>39</v>
      </c>
      <c r="H3" s="7"/>
      <c r="I3" s="7"/>
      <c r="J3" s="7" t="s">
        <v>46</v>
      </c>
      <c r="K3" s="7"/>
      <c r="L3" s="7"/>
      <c r="M3" s="7" t="s">
        <v>58</v>
      </c>
    </row>
    <row r="4" customFormat="false" ht="15" hidden="false" customHeight="true" outlineLevel="0" collapsed="false">
      <c r="A4" s="7"/>
      <c r="B4" s="7"/>
      <c r="C4" s="7"/>
      <c r="D4" s="7" t="s">
        <v>23</v>
      </c>
      <c r="E4" s="7" t="s">
        <v>24</v>
      </c>
      <c r="F4" s="7" t="s">
        <v>25</v>
      </c>
      <c r="G4" s="7" t="s">
        <v>23</v>
      </c>
      <c r="H4" s="7" t="s">
        <v>24</v>
      </c>
      <c r="I4" s="7" t="s">
        <v>25</v>
      </c>
      <c r="J4" s="7" t="s">
        <v>23</v>
      </c>
      <c r="K4" s="7" t="s">
        <v>24</v>
      </c>
      <c r="L4" s="7" t="s">
        <v>25</v>
      </c>
      <c r="M4" s="7"/>
    </row>
    <row r="5" customFormat="false" ht="30" hidden="false" customHeight="true" outlineLevel="0" collapsed="false">
      <c r="A5" s="14" t="s">
        <v>59</v>
      </c>
      <c r="B5" s="15" t="n">
        <v>0.2</v>
      </c>
      <c r="C5" s="9" t="s">
        <v>60</v>
      </c>
      <c r="D5" s="16" t="n">
        <f aca="false">IF(COUNT('K1–K4 pro Prompt'!C5:C10)=0,"",ROUND(AVERAGE('K1–K4 pro Prompt'!C5:C10),1))</f>
        <v>4.8</v>
      </c>
      <c r="E5" s="17" t="n">
        <f aca="false">IF(COUNT('K1–K4 pro Prompt'!D5:D10)=0,"",ROUND(AVERAGE('K1–K4 pro Prompt'!D5:D10),1))</f>
        <v>4.2</v>
      </c>
      <c r="F5" s="12" t="n">
        <f aca="false">IF(COUNT(D5:E5)=0,"",ROUND(AVERAGE(D5:E5),1))</f>
        <v>4.5</v>
      </c>
      <c r="G5" s="16" t="n">
        <f aca="false">IF(COUNT('K1–K4 pro Prompt'!C11:C16)=0,"",ROUND(AVERAGE('K1–K4 pro Prompt'!C11:C16),1))</f>
        <v>5</v>
      </c>
      <c r="H5" s="17" t="n">
        <f aca="false">IF(COUNT('K1–K4 pro Prompt'!D11:D16)=0,"",ROUND(AVERAGE('K1–K4 pro Prompt'!D11:D16),1))</f>
        <v>4.3</v>
      </c>
      <c r="I5" s="12" t="n">
        <f aca="false">IF(COUNT(G5:H5)=0,"",ROUND(AVERAGE(G5:H5),1))</f>
        <v>4.7</v>
      </c>
      <c r="J5" s="16" t="n">
        <f aca="false">IF(COUNT('K1–K4 pro Prompt'!C17:C22)=0,"",ROUND(AVERAGE('K1–K4 pro Prompt'!C17:C22),1))</f>
        <v>4.8</v>
      </c>
      <c r="K5" s="17" t="n">
        <f aca="false">IF(COUNT('K1–K4 pro Prompt'!D17:D22)=0,"",ROUND(AVERAGE('K1–K4 pro Prompt'!D17:D22),1))</f>
        <v>4.2</v>
      </c>
      <c r="L5" s="12" t="n">
        <f aca="false">IF(COUNT(J5:K5)=0,"",ROUND(AVERAGE(J5:K5),1))</f>
        <v>4.5</v>
      </c>
      <c r="M5" s="13" t="s">
        <v>61</v>
      </c>
    </row>
    <row r="6" customFormat="false" ht="30" hidden="false" customHeight="true" outlineLevel="0" collapsed="false">
      <c r="A6" s="14" t="s">
        <v>62</v>
      </c>
      <c r="B6" s="15" t="n">
        <v>0.15</v>
      </c>
      <c r="C6" s="9" t="s">
        <v>60</v>
      </c>
      <c r="D6" s="16" t="n">
        <f aca="false">IF(COUNT('K1–K4 pro Prompt'!F5:F10)=0,"",ROUND(AVERAGE('K1–K4 pro Prompt'!F5:F10),1))</f>
        <v>4</v>
      </c>
      <c r="E6" s="17" t="n">
        <f aca="false">IF(COUNT('K1–K4 pro Prompt'!G5:G10)=0,"",ROUND(AVERAGE('K1–K4 pro Prompt'!G5:G10),1))</f>
        <v>3.5</v>
      </c>
      <c r="F6" s="12" t="n">
        <f aca="false">IF(COUNT(D6:E6)=0,"",ROUND(AVERAGE(D6:E6),1))</f>
        <v>3.8</v>
      </c>
      <c r="G6" s="16" t="n">
        <f aca="false">IF(COUNT('K1–K4 pro Prompt'!F11:F16)=0,"",ROUND(AVERAGE('K1–K4 pro Prompt'!F11:F16),1))</f>
        <v>5</v>
      </c>
      <c r="H6" s="17" t="n">
        <f aca="false">IF(COUNT('K1–K4 pro Prompt'!G11:G16)=0,"",ROUND(AVERAGE('K1–K4 pro Prompt'!G11:G16),1))</f>
        <v>4.7</v>
      </c>
      <c r="I6" s="12" t="n">
        <f aca="false">IF(COUNT(G6:H6)=0,"",ROUND(AVERAGE(G6:H6),1))</f>
        <v>4.9</v>
      </c>
      <c r="J6" s="16" t="n">
        <f aca="false">IF(COUNT('K1–K4 pro Prompt'!F17:F22)=0,"",ROUND(AVERAGE('K1–K4 pro Prompt'!F17:F22),1))</f>
        <v>5</v>
      </c>
      <c r="K6" s="17" t="n">
        <f aca="false">IF(COUNT('K1–K4 pro Prompt'!G17:G22)=0,"",ROUND(AVERAGE('K1–K4 pro Prompt'!G17:G22),1))</f>
        <v>4.2</v>
      </c>
      <c r="L6" s="12" t="n">
        <f aca="false">IF(COUNT(J6:K6)=0,"",ROUND(AVERAGE(J6:K6),1))</f>
        <v>4.6</v>
      </c>
      <c r="M6" s="13" t="s">
        <v>63</v>
      </c>
    </row>
    <row r="7" customFormat="false" ht="30" hidden="false" customHeight="true" outlineLevel="0" collapsed="false">
      <c r="A7" s="14" t="s">
        <v>64</v>
      </c>
      <c r="B7" s="15" t="n">
        <v>0.1</v>
      </c>
      <c r="C7" s="9" t="s">
        <v>60</v>
      </c>
      <c r="D7" s="16" t="n">
        <f aca="false">IF(COUNT('K1–K4 pro Prompt'!I5:I10)=0,"",ROUND(AVERAGE('K1–K4 pro Prompt'!I5:I10),1))</f>
        <v>5</v>
      </c>
      <c r="E7" s="17" t="n">
        <f aca="false">IF(COUNT('K1–K4 pro Prompt'!J5:J10)=0,"",ROUND(AVERAGE('K1–K4 pro Prompt'!J5:J10),1))</f>
        <v>4.8</v>
      </c>
      <c r="F7" s="12" t="n">
        <f aca="false">IF(COUNT(D7:E7)=0,"",ROUND(AVERAGE(D7:E7),1))</f>
        <v>4.9</v>
      </c>
      <c r="G7" s="16" t="n">
        <f aca="false">IF(COUNT('K1–K4 pro Prompt'!I11:I16)=0,"",ROUND(AVERAGE('K1–K4 pro Prompt'!I11:I16),1))</f>
        <v>5</v>
      </c>
      <c r="H7" s="17" t="n">
        <f aca="false">IF(COUNT('K1–K4 pro Prompt'!J11:J16)=0,"",ROUND(AVERAGE('K1–K4 pro Prompt'!J11:J16),1))</f>
        <v>5</v>
      </c>
      <c r="I7" s="12" t="n">
        <f aca="false">IF(COUNT(G7:H7)=0,"",ROUND(AVERAGE(G7:H7),1))</f>
        <v>5</v>
      </c>
      <c r="J7" s="16" t="n">
        <f aca="false">IF(COUNT('K1–K4 pro Prompt'!I17:I22)=0,"",ROUND(AVERAGE('K1–K4 pro Prompt'!I17:I22),1))</f>
        <v>5</v>
      </c>
      <c r="K7" s="17" t="n">
        <f aca="false">IF(COUNT('K1–K4 pro Prompt'!J17:J22)=0,"",ROUND(AVERAGE('K1–K4 pro Prompt'!J17:J22),1))</f>
        <v>4.8</v>
      </c>
      <c r="L7" s="12" t="n">
        <f aca="false">IF(COUNT(J7:K7)=0,"",ROUND(AVERAGE(J7:K7),1))</f>
        <v>4.9</v>
      </c>
      <c r="M7" s="13" t="s">
        <v>65</v>
      </c>
    </row>
    <row r="8" customFormat="false" ht="30" hidden="false" customHeight="true" outlineLevel="0" collapsed="false">
      <c r="A8" s="14" t="s">
        <v>66</v>
      </c>
      <c r="B8" s="15" t="n">
        <v>0.1</v>
      </c>
      <c r="C8" s="9" t="s">
        <v>60</v>
      </c>
      <c r="D8" s="16" t="n">
        <f aca="false">IF(COUNT('K1–K4 pro Prompt'!L5:L10)=0,"",ROUND(AVERAGE('K1–K4 pro Prompt'!L5:L10),1))</f>
        <v>4.8</v>
      </c>
      <c r="E8" s="17" t="n">
        <f aca="false">IF(COUNT('K1–K4 pro Prompt'!M5:M10)=0,"",ROUND(AVERAGE('K1–K4 pro Prompt'!M5:M10),1))</f>
        <v>4.7</v>
      </c>
      <c r="F8" s="12" t="n">
        <f aca="false">IF(COUNT(D8:E8)=0,"",ROUND(AVERAGE(D8:E8),1))</f>
        <v>4.8</v>
      </c>
      <c r="G8" s="16" t="n">
        <f aca="false">IF(COUNT('K1–K4 pro Prompt'!L11:L16)=0,"",ROUND(AVERAGE('K1–K4 pro Prompt'!L11:L16),1))</f>
        <v>4.8</v>
      </c>
      <c r="H8" s="17" t="n">
        <f aca="false">IF(COUNT('K1–K4 pro Prompt'!M11:M16)=0,"",ROUND(AVERAGE('K1–K4 pro Prompt'!M11:M16),1))</f>
        <v>4.8</v>
      </c>
      <c r="I8" s="12" t="n">
        <f aca="false">IF(COUNT(G8:H8)=0,"",ROUND(AVERAGE(G8:H8),1))</f>
        <v>4.8</v>
      </c>
      <c r="J8" s="16" t="n">
        <f aca="false">IF(COUNT('K1–K4 pro Prompt'!L17:L22)=0,"",ROUND(AVERAGE('K1–K4 pro Prompt'!L17:L22),1))</f>
        <v>4.8</v>
      </c>
      <c r="K8" s="17" t="n">
        <f aca="false">IF(COUNT('K1–K4 pro Prompt'!M17:M22)=0,"",ROUND(AVERAGE('K1–K4 pro Prompt'!M17:M22),1))</f>
        <v>4</v>
      </c>
      <c r="L8" s="12" t="n">
        <f aca="false">IF(COUNT(J8:K8)=0,"",ROUND(AVERAGE(J8:K8),1))</f>
        <v>4.4</v>
      </c>
      <c r="M8" s="13" t="s">
        <v>67</v>
      </c>
    </row>
    <row r="9" customFormat="false" ht="30" hidden="false" customHeight="true" outlineLevel="0" collapsed="false">
      <c r="A9" s="14" t="s">
        <v>68</v>
      </c>
      <c r="B9" s="15" t="n">
        <v>0.05</v>
      </c>
      <c r="C9" s="9" t="s">
        <v>60</v>
      </c>
      <c r="D9" s="18" t="n">
        <v>5</v>
      </c>
      <c r="E9" s="19" t="n">
        <v>5</v>
      </c>
      <c r="F9" s="12" t="n">
        <f aca="false">IF(COUNT(D9:E9)=0,"",ROUND(AVERAGE(D9:E9),1))</f>
        <v>5</v>
      </c>
      <c r="G9" s="18" t="n">
        <v>5</v>
      </c>
      <c r="H9" s="19" t="n">
        <v>5</v>
      </c>
      <c r="I9" s="12" t="n">
        <f aca="false">IF(COUNT(G9:H9)=0,"",ROUND(AVERAGE(G9:H9),1))</f>
        <v>5</v>
      </c>
      <c r="J9" s="18" t="n">
        <v>4</v>
      </c>
      <c r="K9" s="19" t="n">
        <v>2</v>
      </c>
      <c r="L9" s="12" t="n">
        <f aca="false">IF(COUNT(J9:K9)=0,"",ROUND(AVERAGE(J9:K9),1))</f>
        <v>3</v>
      </c>
      <c r="M9" s="13" t="s">
        <v>69</v>
      </c>
    </row>
    <row r="10" customFormat="false" ht="30" hidden="false" customHeight="true" outlineLevel="0" collapsed="false">
      <c r="A10" s="14" t="s">
        <v>70</v>
      </c>
      <c r="B10" s="15" t="n">
        <v>0.1</v>
      </c>
      <c r="C10" s="9" t="s">
        <v>71</v>
      </c>
      <c r="D10" s="18" t="n">
        <v>5</v>
      </c>
      <c r="E10" s="19" t="n">
        <v>5</v>
      </c>
      <c r="F10" s="12" t="n">
        <f aca="false">IF(COUNT(D10:E10)=0,"",ROUND(AVERAGE(D10:E10),1))</f>
        <v>5</v>
      </c>
      <c r="G10" s="18" t="n">
        <v>5</v>
      </c>
      <c r="H10" s="19" t="n">
        <v>5</v>
      </c>
      <c r="I10" s="12" t="n">
        <f aca="false">IF(COUNT(G10:H10)=0,"",ROUND(AVERAGE(G10:H10),1))</f>
        <v>5</v>
      </c>
      <c r="J10" s="18" t="n">
        <v>5</v>
      </c>
      <c r="K10" s="19" t="n">
        <v>5</v>
      </c>
      <c r="L10" s="12" t="n">
        <f aca="false">IF(COUNT(J10:K10)=0,"",ROUND(AVERAGE(J10:K10),1))</f>
        <v>5</v>
      </c>
      <c r="M10" s="13" t="s">
        <v>72</v>
      </c>
    </row>
    <row r="11" customFormat="false" ht="43.5" hidden="false" customHeight="true" outlineLevel="0" collapsed="false">
      <c r="A11" s="14" t="s">
        <v>73</v>
      </c>
      <c r="B11" s="15" t="n">
        <v>0.05</v>
      </c>
      <c r="C11" s="9" t="s">
        <v>60</v>
      </c>
      <c r="D11" s="18" t="n">
        <v>5</v>
      </c>
      <c r="E11" s="19" t="n">
        <v>4</v>
      </c>
      <c r="F11" s="12" t="n">
        <f aca="false">IF(COUNT(D11:E11)=0,"",ROUND(AVERAGE(D11:E11),1))</f>
        <v>4.5</v>
      </c>
      <c r="G11" s="18" t="n">
        <v>3</v>
      </c>
      <c r="H11" s="19" t="n">
        <v>3</v>
      </c>
      <c r="I11" s="12" t="n">
        <f aca="false">IF(COUNT(G11:H11)=0,"",ROUND(AVERAGE(G11:H11),1))</f>
        <v>3</v>
      </c>
      <c r="J11" s="18" t="n">
        <v>4</v>
      </c>
      <c r="K11" s="19" t="n">
        <v>4</v>
      </c>
      <c r="L11" s="12" t="n">
        <f aca="false">IF(COUNT(J11:K11)=0,"",ROUND(AVERAGE(J11:K11),1))</f>
        <v>4</v>
      </c>
      <c r="M11" s="13" t="s">
        <v>74</v>
      </c>
    </row>
    <row r="12" customFormat="false" ht="30" hidden="false" customHeight="true" outlineLevel="0" collapsed="false">
      <c r="A12" s="14" t="s">
        <v>75</v>
      </c>
      <c r="B12" s="15" t="n">
        <v>0.1</v>
      </c>
      <c r="C12" s="9" t="s">
        <v>60</v>
      </c>
      <c r="D12" s="18" t="n">
        <v>5</v>
      </c>
      <c r="E12" s="19" t="n">
        <v>5</v>
      </c>
      <c r="F12" s="12" t="n">
        <f aca="false">IF(COUNT(D12:E12)=0,"",ROUND(AVERAGE(D12:E12),1))</f>
        <v>5</v>
      </c>
      <c r="G12" s="18" t="n">
        <v>5</v>
      </c>
      <c r="H12" s="19" t="n">
        <v>5</v>
      </c>
      <c r="I12" s="12" t="n">
        <f aca="false">IF(COUNT(G12:H12)=0,"",ROUND(AVERAGE(G12:H12),1))</f>
        <v>5</v>
      </c>
      <c r="J12" s="18" t="n">
        <v>3</v>
      </c>
      <c r="K12" s="19" t="n">
        <v>3</v>
      </c>
      <c r="L12" s="12" t="n">
        <f aca="false">IF(COUNT(J12:K12)=0,"",ROUND(AVERAGE(J12:K12),1))</f>
        <v>3</v>
      </c>
      <c r="M12" s="13" t="s">
        <v>76</v>
      </c>
    </row>
    <row r="13" customFormat="false" ht="43.5" hidden="false" customHeight="true" outlineLevel="0" collapsed="false">
      <c r="A13" s="14" t="s">
        <v>77</v>
      </c>
      <c r="B13" s="15" t="n">
        <v>0.1</v>
      </c>
      <c r="C13" s="9" t="s">
        <v>71</v>
      </c>
      <c r="D13" s="18" t="n">
        <v>5</v>
      </c>
      <c r="E13" s="19" t="n">
        <v>5</v>
      </c>
      <c r="F13" s="12" t="n">
        <f aca="false">IF(COUNT(D13:E13)=0,"",ROUND(AVERAGE(D13:E13),1))</f>
        <v>5</v>
      </c>
      <c r="G13" s="18" t="n">
        <v>5</v>
      </c>
      <c r="H13" s="19" t="n">
        <v>5</v>
      </c>
      <c r="I13" s="12" t="n">
        <f aca="false">IF(COUNT(G13:H13)=0,"",ROUND(AVERAGE(G13:H13),1))</f>
        <v>5</v>
      </c>
      <c r="J13" s="18" t="n">
        <v>2</v>
      </c>
      <c r="K13" s="19" t="n">
        <v>2</v>
      </c>
      <c r="L13" s="12" t="n">
        <f aca="false">IF(COUNT(J13:K13)=0,"",ROUND(AVERAGE(J13:K13),1))</f>
        <v>2</v>
      </c>
      <c r="M13" s="13" t="s">
        <v>78</v>
      </c>
    </row>
    <row r="14" customFormat="false" ht="30" hidden="false" customHeight="true" outlineLevel="0" collapsed="false">
      <c r="A14" s="14" t="s">
        <v>79</v>
      </c>
      <c r="B14" s="15" t="n">
        <v>0.05</v>
      </c>
      <c r="C14" s="9" t="s">
        <v>60</v>
      </c>
      <c r="D14" s="18" t="n">
        <v>5</v>
      </c>
      <c r="E14" s="19" t="n">
        <v>5</v>
      </c>
      <c r="F14" s="12" t="n">
        <f aca="false">IF(COUNT(D14:E14)=0,"",ROUND(AVERAGE(D14:E14),1))</f>
        <v>5</v>
      </c>
      <c r="G14" s="18" t="n">
        <v>5</v>
      </c>
      <c r="H14" s="19" t="n">
        <v>5</v>
      </c>
      <c r="I14" s="12" t="n">
        <f aca="false">IF(COUNT(G14:H14)=0,"",ROUND(AVERAGE(G14:H14),1))</f>
        <v>5</v>
      </c>
      <c r="J14" s="18" t="n">
        <v>4</v>
      </c>
      <c r="K14" s="19" t="n">
        <v>4</v>
      </c>
      <c r="L14" s="12" t="n">
        <f aca="false">IF(COUNT(J14:K14)=0,"",ROUND(AVERAGE(J14:K14),1))</f>
        <v>4</v>
      </c>
      <c r="M14" s="13" t="s">
        <v>80</v>
      </c>
    </row>
    <row r="15" customFormat="false" ht="30" hidden="false" customHeight="true" outlineLevel="0" collapsed="false">
      <c r="A15" s="20" t="s">
        <v>81</v>
      </c>
      <c r="B15" s="21" t="n">
        <f aca="false">SUM(B5:B14)</f>
        <v>1</v>
      </c>
      <c r="C15" s="22" t="n">
        <f aca="false">COUNTIF(C5:C14,"Ja")</f>
        <v>2</v>
      </c>
      <c r="D15" s="22"/>
      <c r="E15" s="22"/>
      <c r="F15" s="22"/>
      <c r="G15" s="22"/>
      <c r="H15" s="22"/>
      <c r="I15" s="22"/>
      <c r="J15" s="22"/>
      <c r="K15" s="22"/>
      <c r="L15" s="22"/>
      <c r="M15" s="23"/>
    </row>
    <row r="16" customFormat="false" ht="30" hidden="false" customHeight="true" outlineLevel="0" collapsed="false">
      <c r="A16" s="20" t="s">
        <v>82</v>
      </c>
      <c r="B16" s="22"/>
      <c r="C16" s="22"/>
      <c r="D16" s="22"/>
      <c r="E16" s="22"/>
      <c r="F16" s="24" t="n">
        <f aca="false">ROUND(SUMPRODUCT($B$5:$B$14,F5:F14),2)</f>
        <v>4.67</v>
      </c>
      <c r="G16" s="22"/>
      <c r="H16" s="22"/>
      <c r="I16" s="24" t="n">
        <f aca="false">ROUND(SUMPRODUCT($B$5:$B$14,I5:I14),2)</f>
        <v>4.81</v>
      </c>
      <c r="J16" s="22"/>
      <c r="K16" s="22"/>
      <c r="L16" s="24" t="n">
        <f aca="false">ROUND(SUMPRODUCT($B$5:$B$14,L5:L14),2)</f>
        <v>4.07</v>
      </c>
      <c r="M16" s="23"/>
    </row>
    <row r="17" customFormat="false" ht="30" hidden="false" customHeight="true" outlineLevel="0" collapsed="false">
      <c r="A17" s="20" t="s">
        <v>83</v>
      </c>
      <c r="B17" s="22"/>
      <c r="C17" s="22"/>
      <c r="D17" s="22"/>
      <c r="E17" s="22"/>
      <c r="F17" s="22" t="str">
        <f aca="false">IF(AND(F10&gt;1,F13&gt;1),"erfüllt","nicht erfüllt")</f>
        <v>erfüllt</v>
      </c>
      <c r="G17" s="22"/>
      <c r="H17" s="22"/>
      <c r="I17" s="22" t="str">
        <f aca="false">IF(AND(I10&gt;1,I13&gt;1),"erfüllt","nicht erfüllt")</f>
        <v>erfüllt</v>
      </c>
      <c r="J17" s="22"/>
      <c r="K17" s="22"/>
      <c r="L17" s="22" t="str">
        <f aca="false">IF(AND(L10&gt;1,L13&gt;1),"erfüllt","nicht erfüllt")</f>
        <v>erfüllt</v>
      </c>
      <c r="M17" s="23"/>
    </row>
    <row r="18" customFormat="false" ht="30" hidden="false" customHeight="true" outlineLevel="0" collapsed="false">
      <c r="A18" s="20" t="s">
        <v>84</v>
      </c>
      <c r="B18" s="22"/>
      <c r="C18" s="22"/>
      <c r="D18" s="22"/>
      <c r="E18" s="22"/>
      <c r="F18" s="22" t="n">
        <f aca="false">1+(I16&gt;F16)+(L16&gt;F16)</f>
        <v>2</v>
      </c>
      <c r="G18" s="22"/>
      <c r="H18" s="22"/>
      <c r="I18" s="22" t="n">
        <f aca="false">1+(F16&gt;I16)+(L16&gt;I16)</f>
        <v>1</v>
      </c>
      <c r="J18" s="22"/>
      <c r="K18" s="22"/>
      <c r="L18" s="22" t="n">
        <f aca="false">1+(F16&gt;L16)+(I16&gt;L16)</f>
        <v>3</v>
      </c>
      <c r="M18" s="23"/>
    </row>
    <row r="20" customFormat="false" ht="15" hidden="false" customHeight="true" outlineLevel="0" collapsed="false">
      <c r="A20" s="3" t="s">
        <v>85</v>
      </c>
    </row>
  </sheetData>
  <mergeCells count="7">
    <mergeCell ref="A3:A4"/>
    <mergeCell ref="B3:B4"/>
    <mergeCell ref="C3:C4"/>
    <mergeCell ref="D3:F3"/>
    <mergeCell ref="G3:I3"/>
    <mergeCell ref="J3:L3"/>
    <mergeCell ref="M3:M4"/>
  </mergeCells>
  <conditionalFormatting sqref="D5:E14">
    <cfRule type="expression" priority="2" aboveAverage="0" equalAverage="0" bottom="0" percent="0" rank="0" text="" dxfId="0">
      <formula>AND(ISNUMBER($D5),ISNUMBER($E5),ABS($D5-$E5)&gt;=2)</formula>
    </cfRule>
  </conditionalFormatting>
  <conditionalFormatting sqref="G5:H14">
    <cfRule type="expression" priority="3" aboveAverage="0" equalAverage="0" bottom="0" percent="0" rank="0" text="" dxfId="0">
      <formula>AND(ISNUMBER($G5),ISNUMBER($H5),ABS($G5-$H5)&gt;=2)</formula>
    </cfRule>
  </conditionalFormatting>
  <conditionalFormatting sqref="J5:K14">
    <cfRule type="expression" priority="4" aboveAverage="0" equalAverage="0" bottom="0" percent="0" rank="0" text="" dxfId="0">
      <formula>AND(ISNUMBER($J5),ISNUMBER($K5),ABS($J5-$K5)&gt;=2)</formula>
    </cfRule>
  </conditionalFormatting>
  <dataValidations count="1">
    <dataValidation allowBlank="true" error="Bitte ganze Punkte von 1 bis 5 eingeben." errorStyle="stop" errorTitle="Ungültige Bewertung" operator="between" showDropDown="false" showErrorMessage="false" showInputMessage="false" sqref="D9:E14 G9:H14 J9:K1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&amp;CM306 – Bewertung Nutzwertanalyse | Hunger, Weisshaar</oddHeader>
    <oddFooter>&amp;LStand 12.10.2026&amp;RSeite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4" min="2" style="1" width="45"/>
  </cols>
  <sheetData>
    <row r="1" customFormat="false" ht="15" hidden="false" customHeight="true" outlineLevel="0" collapsed="false">
      <c r="A1" s="6" t="s">
        <v>86</v>
      </c>
    </row>
    <row r="2" customFormat="false" ht="15" hidden="false" customHeight="true" outlineLevel="0" collapsed="false">
      <c r="A2" s="3" t="s">
        <v>87</v>
      </c>
    </row>
    <row r="3" customFormat="false" ht="15" hidden="false" customHeight="true" outlineLevel="0" collapsed="false">
      <c r="A3" s="25" t="s">
        <v>88</v>
      </c>
      <c r="B3" s="25" t="s">
        <v>89</v>
      </c>
      <c r="C3" s="25" t="s">
        <v>90</v>
      </c>
      <c r="D3" s="25" t="s">
        <v>91</v>
      </c>
    </row>
    <row r="4" customFormat="false" ht="31.5" hidden="false" customHeight="true" outlineLevel="0" collapsed="false">
      <c r="A4" s="26" t="s">
        <v>92</v>
      </c>
      <c r="B4" s="14" t="s">
        <v>93</v>
      </c>
      <c r="C4" s="14" t="s">
        <v>94</v>
      </c>
      <c r="D4" s="14" t="s">
        <v>95</v>
      </c>
    </row>
    <row r="5" customFormat="false" ht="31.5" hidden="false" customHeight="true" outlineLevel="0" collapsed="false">
      <c r="A5" s="26" t="s">
        <v>96</v>
      </c>
      <c r="B5" s="14" t="s">
        <v>97</v>
      </c>
      <c r="C5" s="14" t="s">
        <v>98</v>
      </c>
      <c r="D5" s="14" t="s">
        <v>99</v>
      </c>
    </row>
    <row r="6" customFormat="false" ht="31.5" hidden="false" customHeight="true" outlineLevel="0" collapsed="false">
      <c r="A6" s="26" t="s">
        <v>100</v>
      </c>
      <c r="B6" s="14" t="s">
        <v>101</v>
      </c>
      <c r="C6" s="14" t="s">
        <v>102</v>
      </c>
      <c r="D6" s="14" t="s">
        <v>103</v>
      </c>
    </row>
    <row r="7" customFormat="false" ht="31.5" hidden="false" customHeight="true" outlineLevel="0" collapsed="false">
      <c r="A7" s="26" t="s">
        <v>104</v>
      </c>
      <c r="B7" s="14" t="s">
        <v>105</v>
      </c>
      <c r="C7" s="14" t="s">
        <v>106</v>
      </c>
      <c r="D7" s="14" t="s">
        <v>107</v>
      </c>
    </row>
    <row r="8" customFormat="false" ht="31.5" hidden="false" customHeight="true" outlineLevel="0" collapsed="false">
      <c r="A8" s="26" t="s">
        <v>108</v>
      </c>
      <c r="B8" s="14" t="s">
        <v>109</v>
      </c>
      <c r="C8" s="14" t="s">
        <v>110</v>
      </c>
      <c r="D8" s="14" t="s">
        <v>111</v>
      </c>
    </row>
    <row r="9" customFormat="false" ht="31.5" hidden="false" customHeight="true" outlineLevel="0" collapsed="false">
      <c r="A9" s="26" t="s">
        <v>112</v>
      </c>
      <c r="B9" s="14" t="s">
        <v>113</v>
      </c>
      <c r="C9" s="14" t="s">
        <v>114</v>
      </c>
      <c r="D9" s="14" t="s">
        <v>115</v>
      </c>
    </row>
    <row r="10" customFormat="false" ht="31.5" hidden="false" customHeight="true" outlineLevel="0" collapsed="false">
      <c r="A10" s="26" t="s">
        <v>116</v>
      </c>
      <c r="B10" s="14" t="s">
        <v>117</v>
      </c>
      <c r="C10" s="14" t="s">
        <v>118</v>
      </c>
      <c r="D10" s="14" t="s">
        <v>119</v>
      </c>
    </row>
    <row r="11" customFormat="false" ht="31.5" hidden="false" customHeight="true" outlineLevel="0" collapsed="false">
      <c r="A11" s="26" t="s">
        <v>120</v>
      </c>
      <c r="B11" s="14" t="s">
        <v>121</v>
      </c>
      <c r="C11" s="14" t="s">
        <v>122</v>
      </c>
      <c r="D11" s="14" t="s">
        <v>123</v>
      </c>
    </row>
    <row r="12" customFormat="false" ht="31.5" hidden="false" customHeight="true" outlineLevel="0" collapsed="false">
      <c r="A12" s="26" t="s">
        <v>124</v>
      </c>
      <c r="B12" s="14" t="s">
        <v>125</v>
      </c>
      <c r="C12" s="14" t="s">
        <v>126</v>
      </c>
      <c r="D12" s="14" t="s">
        <v>127</v>
      </c>
    </row>
    <row r="13" customFormat="false" ht="31.5" hidden="false" customHeight="true" outlineLevel="0" collapsed="false">
      <c r="A13" s="26" t="s">
        <v>128</v>
      </c>
      <c r="B13" s="14" t="s">
        <v>129</v>
      </c>
      <c r="C13" s="14" t="s">
        <v>130</v>
      </c>
      <c r="D13" s="14" t="s">
        <v>131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&amp;CM306 – Bewertung Nutzwertanalyse | Hunger, Weisshaar</oddHeader>
    <oddFooter>&amp;LStand 12.10.2026&amp;RSeite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2026-10-12T01:30:29Z</dcterms:created>
  <dc:creator>Nicolas Hunger, Lucas Weisshaar</dc:creator>
  <dc:description/>
  <dc:language>en-US</dc:language>
  <cp:lastModifiedBy/>
  <dcterms:modified xsi:type="dcterms:W3CDTF">2026-10-25T14:42:24Z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