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ftragsplanung_mit_PM" sheetId="1" state="visible" r:id="rId3"/>
  </sheets>
  <definedNames>
    <definedName function="false" hidden="false" localSheetId="0" name="_xlnm.Print_Area" vbProcedure="false">Auftragsplanung_mit_PM!$A$1:$L$37</definedName>
    <definedName function="false" hidden="false" localSheetId="0" name="_xlnm.Print_Titles" vbProcedure="false">Auftragsplanung_mit_PM!$1:$1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<sst xmlns="http://schemas.openxmlformats.org/spreadsheetml/2006/main" count="169" uniqueCount="106">
  <si>
    <t xml:space="preserve">ID</t>
  </si>
  <si>
    <t xml:space="preserve">Projektphase</t>
  </si>
  <si>
    <t xml:space="preserve">Meilen-
steine</t>
  </si>
  <si>
    <t xml:space="preserve">Arbeitspaket</t>
  </si>
  <si>
    <t xml:space="preserve">Lieferergebnisse</t>
  </si>
  <si>
    <t xml:space="preserve">Aufwand
(h)</t>
  </si>
  <si>
    <t xml:space="preserve">Ressource
(Wer?)</t>
  </si>
  <si>
    <t xml:space="preserve">KW39
21.–27.09.</t>
  </si>
  <si>
    <t xml:space="preserve">KW40
28.09.–04.10.</t>
  </si>
  <si>
    <t xml:space="preserve">KW41
05.–11.10.</t>
  </si>
  <si>
    <t xml:space="preserve">KW42
12.–18.10.</t>
  </si>
  <si>
    <t xml:space="preserve">KW43
19.–25.10.</t>
  </si>
  <si>
    <t xml:space="preserve">1.1</t>
  </si>
  <si>
    <t xml:space="preserve">Initialisierung</t>
  </si>
  <si>
    <t xml:space="preserve">Kick-off: Auftrag klären, Thema und Tools wählen</t>
  </si>
  <si>
    <t xml:space="preserve">Themenentscheid, Tool-Auswahl</t>
  </si>
  <si>
    <t xml:space="preserve">beide</t>
  </si>
  <si>
    <t xml:space="preserve">x</t>
  </si>
  <si>
    <t xml:space="preserve">1.2</t>
  </si>
  <si>
    <t xml:space="preserve">Einleitung, SMART-Ziele, Projektantrag</t>
  </si>
  <si>
    <t xml:space="preserve">Einleitung, Ziele, Projektantrag</t>
  </si>
  <si>
    <t xml:space="preserve">Lucas</t>
  </si>
  <si>
    <t xml:space="preserve">1.3</t>
  </si>
  <si>
    <t xml:space="preserve">Vorgehen, Organigramm, Projektplanung</t>
  </si>
  <si>
    <t xml:space="preserve">Phasenmodell, Organigramm, Projektplan</t>
  </si>
  <si>
    <t xml:space="preserve">1.4</t>
  </si>
  <si>
    <t xml:space="preserve">Risikoanalyse und Teamregeln</t>
  </si>
  <si>
    <t xml:space="preserve">Risikoregister, Teamregeln</t>
  </si>
  <si>
    <t xml:space="preserve">M0</t>
  </si>
  <si>
    <t xml:space="preserve">Projektstart</t>
  </si>
  <si>
    <t xml:space="preserve">M1</t>
  </si>
  <si>
    <t xml:space="preserve">Projektantrag erstellt</t>
  </si>
  <si>
    <t xml:space="preserve">2.1</t>
  </si>
  <si>
    <t xml:space="preserve">Anforderungserhebung</t>
  </si>
  <si>
    <t xml:space="preserve">Lastenheft mit Kriterienkatalog (10 Kriterien, 2 Muss, Gewichtung)</t>
  </si>
  <si>
    <t xml:space="preserve">Lastenheft, Kriterienkatalog</t>
  </si>
  <si>
    <t xml:space="preserve">Nicolas</t>
  </si>
  <si>
    <t xml:space="preserve">2.2</t>
  </si>
  <si>
    <t xml:space="preserve">6 Test-Prompts und Bewertungsskala festlegen</t>
  </si>
  <si>
    <t xml:space="preserve">Test-Prompts, Bewertungsskala</t>
  </si>
  <si>
    <t xml:space="preserve">2.3</t>
  </si>
  <si>
    <t xml:space="preserve">Pflichtenheft erstellen</t>
  </si>
  <si>
    <t xml:space="preserve">Pflichtenheft</t>
  </si>
  <si>
    <t xml:space="preserve">M2</t>
  </si>
  <si>
    <t xml:space="preserve">Kriterienkatalog und Test-Prompts festgelegt</t>
  </si>
  <si>
    <t xml:space="preserve">3.1</t>
  </si>
  <si>
    <t xml:space="preserve">Analyse/Design</t>
  </si>
  <si>
    <t xml:space="preserve">Konten einrichten, Vergleichstests (3 Tools × 6 Prompts)</t>
  </si>
  <si>
    <t xml:space="preserve">Testprotokoll mit Screenshots</t>
  </si>
  <si>
    <t xml:space="preserve">3.2</t>
  </si>
  <si>
    <t xml:space="preserve">Resultate bewerten, Nutzwertanalyse ausfüllen</t>
  </si>
  <si>
    <t xml:space="preserve">Nutzwertanalyse</t>
  </si>
  <si>
    <t xml:space="preserve">3.3</t>
  </si>
  <si>
    <t xml:space="preserve">Evaluation schreiben, Tool-Entscheid</t>
  </si>
  <si>
    <t xml:space="preserve">Evaluation</t>
  </si>
  <si>
    <t xml:space="preserve">3.4</t>
  </si>
  <si>
    <t xml:space="preserve">Konzept für Anleitung und Demo</t>
  </si>
  <si>
    <t xml:space="preserve">Konzept</t>
  </si>
  <si>
    <t xml:space="preserve">M3</t>
  </si>
  <si>
    <t xml:space="preserve">Tool-Entscheid</t>
  </si>
  <si>
    <t xml:space="preserve">4.1</t>
  </si>
  <si>
    <t xml:space="preserve">Implementierung</t>
  </si>
  <si>
    <t xml:space="preserve">Tool einrichten, Anleitung schreiben</t>
  </si>
  <si>
    <t xml:space="preserve">Benutzeranleitung</t>
  </si>
  <si>
    <t xml:space="preserve">4.2</t>
  </si>
  <si>
    <t xml:space="preserve">Demo-Prompts vorbereiten</t>
  </si>
  <si>
    <t xml:space="preserve">Demo-Prompts</t>
  </si>
  <si>
    <t xml:space="preserve">5.1</t>
  </si>
  <si>
    <t xml:space="preserve">Test</t>
  </si>
  <si>
    <t xml:space="preserve">Anleitung mit Testperson prüfen und korrigieren</t>
  </si>
  <si>
    <t xml:space="preserve">Testprotokoll, korrigierte Anleitung</t>
  </si>
  <si>
    <t xml:space="preserve">5.2</t>
  </si>
  <si>
    <t xml:space="preserve">Demo-Prompts testen</t>
  </si>
  <si>
    <t xml:space="preserve">getestete Demo</t>
  </si>
  <si>
    <t xml:space="preserve">M4</t>
  </si>
  <si>
    <t xml:space="preserve">Anleitung und Demo getestet</t>
  </si>
  <si>
    <t xml:space="preserve">6.1</t>
  </si>
  <si>
    <t xml:space="preserve">Einführung/Abnahme</t>
  </si>
  <si>
    <t xml:space="preserve">Präsentation erstellen</t>
  </si>
  <si>
    <t xml:space="preserve">Präsentationsfolien</t>
  </si>
  <si>
    <t xml:space="preserve">6.2</t>
  </si>
  <si>
    <t xml:space="preserve">Präsentation mit Live-Demo, Abnahme</t>
  </si>
  <si>
    <t xml:space="preserve">Präsentation, Abnahme</t>
  </si>
  <si>
    <t xml:space="preserve">7.1</t>
  </si>
  <si>
    <t xml:space="preserve">Abschluss</t>
  </si>
  <si>
    <t xml:space="preserve">Zusammenfassung, Vergleich geplant/tatsächlich</t>
  </si>
  <si>
    <t xml:space="preserve">Zusammenfassung</t>
  </si>
  <si>
    <t xml:space="preserve">7.2</t>
  </si>
  <si>
    <t xml:space="preserve">Reflexion je Teammitglied</t>
  </si>
  <si>
    <t xml:space="preserve">2 Reflexionen</t>
  </si>
  <si>
    <t xml:space="preserve">7.3</t>
  </si>
  <si>
    <t xml:space="preserve">Dokument fertigstellen, PDF abgeben</t>
  </si>
  <si>
    <t xml:space="preserve">PDF</t>
  </si>
  <si>
    <t xml:space="preserve">M5</t>
  </si>
  <si>
    <t xml:space="preserve">Abgabe PDF und Präsentation</t>
  </si>
  <si>
    <t xml:space="preserve">0</t>
  </si>
  <si>
    <t xml:space="preserve">Laufend</t>
  </si>
  <si>
    <t xml:space="preserve">Projektführung und Absprachen</t>
  </si>
  <si>
    <t xml:space="preserve">Abgleich im Team</t>
  </si>
  <si>
    <t xml:space="preserve">Total Aufwand (h)</t>
  </si>
  <si>
    <t xml:space="preserve">davon Lucas (h)</t>
  </si>
  <si>
    <t xml:space="preserve">davon Nicolas (h)</t>
  </si>
  <si>
    <t xml:space="preserve">Legende: x hellblau = geplante Bearbeitung in der Kalenderwoche; rotes Feld = Meilenstein mit Datum.</t>
  </si>
  <si>
    <t xml:space="preserve">Annahmen: Aufwand geschätzt (Stand 03.10.2026); bei «beide» wird der Aufwand je zur Hälfte gerechnet.</t>
  </si>
  <si>
    <t xml:space="preserve">Projekt: M306 – Evaluation &amp; Einführung eines KI-Bildgenerators (Free-Tier) | Team: Nicolas Hunger, Lucas Weisshaar (PL)</t>
  </si>
  <si>
    <t xml:space="preserve">Änderung 12.10.2026: Paket 3.1 am 12.10. (KW 42) von Lucas statt Nicolas durchgeführt; ChatGPT-Tageslimit erreicht (R1), P5/P6 mit zweitem Gratis-Konto nachgeholt.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</si>
</sst>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&quot;. &quot;mmm"/>
    <numFmt numFmtId="166" formatCode="0.0#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59595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A86E8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1F3864"/>
        <bgColor rgb="FF333333"/>
      </patternFill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1"/>
    <col collapsed="false" customWidth="true" hidden="false" outlineLevel="0" max="3" min="3" style="0" width="28.57"/>
    <col collapsed="false" customWidth="true" hidden="false" outlineLevel="0" max="4" min="4" style="0" width="25.29"/>
    <col collapsed="false" customWidth="true" hidden="false" outlineLevel="0" max="5" min="5" style="0" width="21.29"/>
    <col collapsed="false" customWidth="true" hidden="false" outlineLevel="0" max="6" min="6" style="0" width="9.43"/>
    <col collapsed="false" customWidth="true" hidden="false" outlineLevel="0" max="28" min="7" style="0" width="10.71"/>
  </cols>
  <sheetData>
    <row r="1" customFormat="false" ht="4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</row>
    <row r="2" customFormat="false" ht="31.5" hidden="false" customHeight="true" outlineLevel="0" collapsed="false">
      <c r="A2" s="7" t="s">
        <v>12</v>
      </c>
      <c r="B2" s="7" t="s">
        <v>13</v>
      </c>
      <c r="C2" s="7"/>
      <c r="D2" s="7" t="s">
        <v>14</v>
      </c>
      <c r="E2" s="7" t="s">
        <v>15</v>
      </c>
      <c r="F2" s="7" t="n">
        <v>2</v>
      </c>
      <c r="G2" s="7" t="s">
        <v>16</v>
      </c>
      <c r="H2" s="8" t="s">
        <v>17</v>
      </c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</row>
    <row r="3" customFormat="false" ht="31.5" hidden="false" customHeight="true" outlineLevel="0" collapsed="false">
      <c r="A3" s="7" t="s">
        <v>18</v>
      </c>
      <c r="B3" s="7" t="s">
        <v>13</v>
      </c>
      <c r="C3" s="7"/>
      <c r="D3" s="7" t="s">
        <v>19</v>
      </c>
      <c r="E3" s="7" t="s">
        <v>20</v>
      </c>
      <c r="F3" s="7" t="n">
        <v>3</v>
      </c>
      <c r="G3" s="7" t="s">
        <v>21</v>
      </c>
      <c r="H3" s="7"/>
      <c r="I3" s="8" t="s">
        <v>17</v>
      </c>
      <c r="J3" s="7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</row>
    <row r="4" customFormat="false" ht="46.5" hidden="false" customHeight="true" outlineLevel="0" collapsed="false">
      <c r="A4" s="7" t="s">
        <v>22</v>
      </c>
      <c r="B4" s="7" t="s">
        <v>13</v>
      </c>
      <c r="C4" s="7"/>
      <c r="D4" s="7" t="s">
        <v>23</v>
      </c>
      <c r="E4" s="7" t="s">
        <v>24</v>
      </c>
      <c r="F4" s="7" t="n">
        <v>3</v>
      </c>
      <c r="G4" s="7" t="s">
        <v>21</v>
      </c>
      <c r="H4" s="7"/>
      <c r="I4" s="8" t="s">
        <v>17</v>
      </c>
      <c r="J4" s="7"/>
      <c r="K4" s="9"/>
      <c r="L4" s="7"/>
      <c r="M4" s="6"/>
      <c r="N4" s="6"/>
      <c r="O4" s="6"/>
      <c r="P4" s="6"/>
      <c r="Q4" s="6"/>
      <c r="R4" s="6"/>
      <c r="S4" s="6"/>
      <c r="T4" s="6"/>
      <c r="U4" s="6"/>
      <c r="V4" s="6"/>
    </row>
    <row r="5" customFormat="false" ht="31.5" hidden="false" customHeight="true" outlineLevel="0" collapsed="false">
      <c r="A5" s="7" t="s">
        <v>25</v>
      </c>
      <c r="B5" s="7" t="s">
        <v>13</v>
      </c>
      <c r="C5" s="7"/>
      <c r="D5" s="7" t="s">
        <v>26</v>
      </c>
      <c r="E5" s="7" t="s">
        <v>27</v>
      </c>
      <c r="F5" s="7" t="n">
        <v>2</v>
      </c>
      <c r="G5" s="7" t="s">
        <v>16</v>
      </c>
      <c r="H5" s="7"/>
      <c r="I5" s="8" t="s">
        <v>17</v>
      </c>
      <c r="J5" s="8" t="s">
        <v>17</v>
      </c>
      <c r="K5" s="9"/>
      <c r="L5" s="7"/>
      <c r="M5" s="6"/>
      <c r="N5" s="6"/>
      <c r="O5" s="6"/>
      <c r="P5" s="6"/>
      <c r="Q5" s="6"/>
      <c r="R5" s="6"/>
      <c r="S5" s="6"/>
      <c r="T5" s="6"/>
      <c r="U5" s="6"/>
      <c r="V5" s="6"/>
    </row>
    <row r="6" customFormat="false" ht="16.5" hidden="false" customHeight="true" outlineLevel="0" collapsed="false">
      <c r="A6" s="7" t="s">
        <v>28</v>
      </c>
      <c r="B6" s="7" t="s">
        <v>13</v>
      </c>
      <c r="C6" s="10" t="s">
        <v>29</v>
      </c>
      <c r="D6" s="7"/>
      <c r="E6" s="7"/>
      <c r="F6" s="7"/>
      <c r="G6" s="7"/>
      <c r="H6" s="11" t="n">
        <v>46288</v>
      </c>
      <c r="I6" s="7"/>
      <c r="J6" s="7"/>
      <c r="K6" s="9"/>
      <c r="L6" s="7"/>
      <c r="M6" s="6"/>
      <c r="N6" s="6"/>
      <c r="O6" s="6"/>
      <c r="P6" s="6"/>
      <c r="Q6" s="6"/>
      <c r="R6" s="6"/>
      <c r="S6" s="6"/>
      <c r="T6" s="6"/>
      <c r="U6" s="6"/>
      <c r="V6" s="6"/>
    </row>
    <row r="7" customFormat="false" ht="16.5" hidden="false" customHeight="true" outlineLevel="0" collapsed="false">
      <c r="A7" s="7" t="s">
        <v>30</v>
      </c>
      <c r="B7" s="7" t="s">
        <v>13</v>
      </c>
      <c r="C7" s="10" t="s">
        <v>31</v>
      </c>
      <c r="D7" s="7"/>
      <c r="E7" s="7"/>
      <c r="F7" s="7"/>
      <c r="G7" s="7"/>
      <c r="H7" s="7"/>
      <c r="I7" s="11" t="n">
        <v>46297</v>
      </c>
      <c r="J7" s="7"/>
      <c r="K7" s="9"/>
      <c r="L7" s="7"/>
      <c r="M7" s="6"/>
      <c r="N7" s="6"/>
      <c r="O7" s="6"/>
      <c r="P7" s="6"/>
      <c r="Q7" s="6"/>
      <c r="R7" s="6"/>
      <c r="S7" s="6"/>
      <c r="T7" s="6"/>
      <c r="U7" s="6"/>
      <c r="V7" s="6"/>
    </row>
    <row r="8" customFormat="false" ht="61.5" hidden="false" customHeight="true" outlineLevel="0" collapsed="false">
      <c r="A8" s="7" t="s">
        <v>32</v>
      </c>
      <c r="B8" s="7" t="s">
        <v>33</v>
      </c>
      <c r="C8" s="7"/>
      <c r="D8" s="7" t="s">
        <v>34</v>
      </c>
      <c r="E8" s="7" t="s">
        <v>35</v>
      </c>
      <c r="F8" s="7" t="n">
        <v>3</v>
      </c>
      <c r="G8" s="7" t="s">
        <v>36</v>
      </c>
      <c r="H8" s="7"/>
      <c r="I8" s="7"/>
      <c r="J8" s="8" t="s">
        <v>17</v>
      </c>
      <c r="K8" s="9"/>
      <c r="L8" s="7"/>
      <c r="M8" s="6"/>
      <c r="N8" s="6"/>
      <c r="O8" s="6"/>
      <c r="P8" s="6"/>
      <c r="Q8" s="6"/>
      <c r="R8" s="6"/>
      <c r="S8" s="6"/>
      <c r="T8" s="6"/>
      <c r="U8" s="6"/>
      <c r="V8" s="6"/>
    </row>
    <row r="9" customFormat="false" ht="31.5" hidden="false" customHeight="true" outlineLevel="0" collapsed="false">
      <c r="A9" s="7" t="s">
        <v>37</v>
      </c>
      <c r="B9" s="7" t="s">
        <v>33</v>
      </c>
      <c r="C9" s="7"/>
      <c r="D9" s="7" t="s">
        <v>38</v>
      </c>
      <c r="E9" s="7" t="s">
        <v>39</v>
      </c>
      <c r="F9" s="7" t="n">
        <v>1.5</v>
      </c>
      <c r="G9" s="7" t="s">
        <v>36</v>
      </c>
      <c r="H9" s="7"/>
      <c r="I9" s="7"/>
      <c r="J9" s="8" t="s">
        <v>17</v>
      </c>
      <c r="K9" s="7"/>
      <c r="L9" s="7"/>
      <c r="M9" s="6"/>
      <c r="N9" s="6"/>
      <c r="O9" s="6"/>
      <c r="P9" s="6"/>
      <c r="Q9" s="6"/>
      <c r="R9" s="6"/>
      <c r="S9" s="6"/>
      <c r="T9" s="6"/>
      <c r="U9" s="6"/>
      <c r="V9" s="6"/>
    </row>
    <row r="10" customFormat="false" ht="16.5" hidden="false" customHeight="true" outlineLevel="0" collapsed="false">
      <c r="A10" s="7" t="s">
        <v>40</v>
      </c>
      <c r="B10" s="7" t="s">
        <v>33</v>
      </c>
      <c r="C10" s="7"/>
      <c r="D10" s="7" t="s">
        <v>41</v>
      </c>
      <c r="E10" s="7" t="s">
        <v>42</v>
      </c>
      <c r="F10" s="7" t="n">
        <v>2</v>
      </c>
      <c r="G10" s="7" t="s">
        <v>21</v>
      </c>
      <c r="H10" s="7"/>
      <c r="I10" s="7"/>
      <c r="J10" s="8" t="s">
        <v>17</v>
      </c>
      <c r="K10" s="7"/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customFormat="false" ht="31.5" hidden="false" customHeight="true" outlineLevel="0" collapsed="false">
      <c r="A11" s="7" t="s">
        <v>43</v>
      </c>
      <c r="B11" s="7" t="s">
        <v>33</v>
      </c>
      <c r="C11" s="10" t="s">
        <v>44</v>
      </c>
      <c r="D11" s="7"/>
      <c r="E11" s="7"/>
      <c r="F11" s="7"/>
      <c r="G11" s="7"/>
      <c r="H11" s="7"/>
      <c r="I11" s="7"/>
      <c r="J11" s="11" t="n">
        <v>46302</v>
      </c>
      <c r="K11" s="7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customFormat="false" ht="46.5" hidden="false" customHeight="true" outlineLevel="0" collapsed="false">
      <c r="A12" s="7" t="s">
        <v>45</v>
      </c>
      <c r="B12" s="7" t="s">
        <v>46</v>
      </c>
      <c r="C12" s="7"/>
      <c r="D12" s="7" t="s">
        <v>47</v>
      </c>
      <c r="E12" s="7" t="s">
        <v>48</v>
      </c>
      <c r="F12" s="7" t="n">
        <v>4</v>
      </c>
      <c r="G12" s="7" t="s">
        <v>21</v>
      </c>
      <c r="H12" s="7"/>
      <c r="I12" s="7"/>
      <c r="J12" s="7"/>
      <c r="K12" s="8" t="s">
        <v>17</v>
      </c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customFormat="false" ht="31.5" hidden="false" customHeight="true" outlineLevel="0" collapsed="false">
      <c r="A13" s="7" t="s">
        <v>49</v>
      </c>
      <c r="B13" s="7" t="s">
        <v>46</v>
      </c>
      <c r="C13" s="7"/>
      <c r="D13" s="7" t="s">
        <v>50</v>
      </c>
      <c r="E13" s="7" t="s">
        <v>51</v>
      </c>
      <c r="F13" s="7" t="n">
        <v>2</v>
      </c>
      <c r="G13" s="7" t="s">
        <v>16</v>
      </c>
      <c r="H13" s="7"/>
      <c r="I13" s="7"/>
      <c r="J13" s="7"/>
      <c r="K13" s="8" t="s">
        <v>17</v>
      </c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customFormat="false" ht="31.5" hidden="false" customHeight="true" outlineLevel="0" collapsed="false">
      <c r="A14" s="7" t="s">
        <v>52</v>
      </c>
      <c r="B14" s="7" t="s">
        <v>46</v>
      </c>
      <c r="C14" s="7"/>
      <c r="D14" s="7" t="s">
        <v>53</v>
      </c>
      <c r="E14" s="7" t="s">
        <v>54</v>
      </c>
      <c r="F14" s="7" t="n">
        <v>1.5</v>
      </c>
      <c r="G14" s="7" t="s">
        <v>21</v>
      </c>
      <c r="H14" s="7"/>
      <c r="I14" s="7"/>
      <c r="J14" s="7"/>
      <c r="K14" s="8" t="s">
        <v>17</v>
      </c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customFormat="false" ht="31.5" hidden="false" customHeight="true" outlineLevel="0" collapsed="false">
      <c r="A15" s="7" t="s">
        <v>55</v>
      </c>
      <c r="B15" s="7" t="s">
        <v>46</v>
      </c>
      <c r="C15" s="7"/>
      <c r="D15" s="7" t="s">
        <v>56</v>
      </c>
      <c r="E15" s="7" t="s">
        <v>57</v>
      </c>
      <c r="F15" s="7" t="n">
        <v>1</v>
      </c>
      <c r="G15" s="7" t="s">
        <v>36</v>
      </c>
      <c r="H15" s="7"/>
      <c r="I15" s="7"/>
      <c r="J15" s="7"/>
      <c r="K15" s="8" t="s">
        <v>17</v>
      </c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customFormat="false" ht="16.5" hidden="false" customHeight="true" outlineLevel="0" collapsed="false">
      <c r="A16" s="7" t="s">
        <v>58</v>
      </c>
      <c r="B16" s="7" t="s">
        <v>46</v>
      </c>
      <c r="C16" s="10" t="s">
        <v>59</v>
      </c>
      <c r="D16" s="7"/>
      <c r="E16" s="7"/>
      <c r="F16" s="7"/>
      <c r="G16" s="7"/>
      <c r="H16" s="7"/>
      <c r="I16" s="7"/>
      <c r="J16" s="7"/>
      <c r="K16" s="11" t="n">
        <v>46309</v>
      </c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customFormat="false" ht="31.5" hidden="false" customHeight="true" outlineLevel="0" collapsed="false">
      <c r="A17" s="7" t="s">
        <v>60</v>
      </c>
      <c r="B17" s="7" t="s">
        <v>61</v>
      </c>
      <c r="C17" s="7"/>
      <c r="D17" s="7" t="s">
        <v>62</v>
      </c>
      <c r="E17" s="7" t="s">
        <v>63</v>
      </c>
      <c r="F17" s="7" t="n">
        <v>3</v>
      </c>
      <c r="G17" s="7" t="s">
        <v>36</v>
      </c>
      <c r="H17" s="7"/>
      <c r="I17" s="7"/>
      <c r="J17" s="7"/>
      <c r="K17" s="8" t="s">
        <v>17</v>
      </c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customFormat="false" ht="16.5" hidden="false" customHeight="true" outlineLevel="0" collapsed="false">
      <c r="A18" s="7" t="s">
        <v>64</v>
      </c>
      <c r="B18" s="7" t="s">
        <v>61</v>
      </c>
      <c r="C18" s="7"/>
      <c r="D18" s="7" t="s">
        <v>65</v>
      </c>
      <c r="E18" s="7" t="s">
        <v>66</v>
      </c>
      <c r="F18" s="7" t="n">
        <v>1</v>
      </c>
      <c r="G18" s="7" t="s">
        <v>21</v>
      </c>
      <c r="H18" s="7"/>
      <c r="I18" s="7"/>
      <c r="J18" s="7"/>
      <c r="K18" s="8" t="s">
        <v>17</v>
      </c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customFormat="false" ht="31.5" hidden="false" customHeight="true" outlineLevel="0" collapsed="false">
      <c r="A19" s="7" t="s">
        <v>67</v>
      </c>
      <c r="B19" s="7" t="s">
        <v>68</v>
      </c>
      <c r="C19" s="7"/>
      <c r="D19" s="7" t="s">
        <v>69</v>
      </c>
      <c r="E19" s="7" t="s">
        <v>70</v>
      </c>
      <c r="F19" s="7" t="n">
        <v>1.5</v>
      </c>
      <c r="G19" s="7" t="s">
        <v>36</v>
      </c>
      <c r="H19" s="7"/>
      <c r="I19" s="7"/>
      <c r="J19" s="7"/>
      <c r="K19" s="8" t="s">
        <v>17</v>
      </c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customFormat="false" ht="16.5" hidden="false" customHeight="true" outlineLevel="0" collapsed="false">
      <c r="A20" s="7" t="s">
        <v>71</v>
      </c>
      <c r="B20" s="7" t="s">
        <v>68</v>
      </c>
      <c r="C20" s="7"/>
      <c r="D20" s="7" t="s">
        <v>72</v>
      </c>
      <c r="E20" s="7" t="s">
        <v>73</v>
      </c>
      <c r="F20" s="7" t="n">
        <v>0.5</v>
      </c>
      <c r="G20" s="7" t="s">
        <v>21</v>
      </c>
      <c r="H20" s="7"/>
      <c r="I20" s="7"/>
      <c r="J20" s="7"/>
      <c r="K20" s="8" t="s">
        <v>17</v>
      </c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customFormat="false" ht="16.5" hidden="false" customHeight="true" outlineLevel="0" collapsed="false">
      <c r="A21" s="7" t="s">
        <v>74</v>
      </c>
      <c r="B21" s="7" t="s">
        <v>68</v>
      </c>
      <c r="C21" s="10" t="s">
        <v>75</v>
      </c>
      <c r="D21" s="7"/>
      <c r="E21" s="7"/>
      <c r="F21" s="7"/>
      <c r="G21" s="7"/>
      <c r="H21" s="7"/>
      <c r="I21" s="7"/>
      <c r="J21" s="7"/>
      <c r="K21" s="11" t="n">
        <v>46312</v>
      </c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customFormat="false" ht="16.5" hidden="false" customHeight="true" outlineLevel="0" collapsed="false">
      <c r="A22" s="7" t="s">
        <v>76</v>
      </c>
      <c r="B22" s="7" t="s">
        <v>77</v>
      </c>
      <c r="C22" s="7"/>
      <c r="D22" s="7" t="s">
        <v>78</v>
      </c>
      <c r="E22" s="7" t="s">
        <v>79</v>
      </c>
      <c r="F22" s="7" t="n">
        <v>2.5</v>
      </c>
      <c r="G22" s="7" t="s">
        <v>16</v>
      </c>
      <c r="H22" s="7"/>
      <c r="I22" s="7"/>
      <c r="J22" s="7"/>
      <c r="K22" s="7"/>
      <c r="L22" s="8" t="s">
        <v>17</v>
      </c>
      <c r="M22" s="6"/>
      <c r="N22" s="6"/>
      <c r="O22" s="6"/>
      <c r="P22" s="6"/>
      <c r="Q22" s="6"/>
      <c r="R22" s="6"/>
      <c r="S22" s="6"/>
      <c r="T22" s="6"/>
      <c r="U22" s="6"/>
      <c r="V22" s="6"/>
    </row>
    <row r="23" customFormat="false" ht="31.5" hidden="false" customHeight="true" outlineLevel="0" collapsed="false">
      <c r="A23" s="7" t="s">
        <v>80</v>
      </c>
      <c r="B23" s="7" t="s">
        <v>77</v>
      </c>
      <c r="C23" s="7"/>
      <c r="D23" s="7" t="s">
        <v>81</v>
      </c>
      <c r="E23" s="7" t="s">
        <v>82</v>
      </c>
      <c r="F23" s="7" t="n">
        <v>1</v>
      </c>
      <c r="G23" s="7" t="s">
        <v>16</v>
      </c>
      <c r="H23" s="7"/>
      <c r="I23" s="7"/>
      <c r="J23" s="7"/>
      <c r="K23" s="7"/>
      <c r="L23" s="8" t="s">
        <v>17</v>
      </c>
      <c r="M23" s="6"/>
      <c r="N23" s="6"/>
      <c r="O23" s="6"/>
      <c r="P23" s="6"/>
      <c r="Q23" s="6"/>
      <c r="R23" s="6"/>
      <c r="S23" s="6"/>
      <c r="T23" s="6"/>
      <c r="U23" s="6"/>
      <c r="V23" s="6"/>
    </row>
    <row r="24" customFormat="false" ht="31.5" hidden="false" customHeight="true" outlineLevel="0" collapsed="false">
      <c r="A24" s="7" t="s">
        <v>83</v>
      </c>
      <c r="B24" s="7" t="s">
        <v>84</v>
      </c>
      <c r="C24" s="7"/>
      <c r="D24" s="7" t="s">
        <v>85</v>
      </c>
      <c r="E24" s="7" t="s">
        <v>86</v>
      </c>
      <c r="F24" s="7" t="n">
        <v>1</v>
      </c>
      <c r="G24" s="7" t="s">
        <v>21</v>
      </c>
      <c r="H24" s="7"/>
      <c r="I24" s="7"/>
      <c r="J24" s="7"/>
      <c r="K24" s="7"/>
      <c r="L24" s="8" t="s">
        <v>17</v>
      </c>
      <c r="M24" s="6"/>
      <c r="N24" s="6"/>
      <c r="O24" s="6"/>
      <c r="P24" s="6"/>
      <c r="Q24" s="6"/>
      <c r="R24" s="6"/>
      <c r="S24" s="6"/>
      <c r="T24" s="6"/>
      <c r="U24" s="6"/>
      <c r="V24" s="6"/>
    </row>
    <row r="25" customFormat="false" ht="16.5" hidden="false" customHeight="true" outlineLevel="0" collapsed="false">
      <c r="A25" s="7" t="s">
        <v>87</v>
      </c>
      <c r="B25" s="7" t="s">
        <v>84</v>
      </c>
      <c r="C25" s="7"/>
      <c r="D25" s="7" t="s">
        <v>88</v>
      </c>
      <c r="E25" s="7" t="s">
        <v>89</v>
      </c>
      <c r="F25" s="7" t="n">
        <v>2</v>
      </c>
      <c r="G25" s="7" t="s">
        <v>16</v>
      </c>
      <c r="H25" s="7"/>
      <c r="I25" s="7"/>
      <c r="J25" s="7"/>
      <c r="K25" s="7"/>
      <c r="L25" s="8" t="s">
        <v>17</v>
      </c>
      <c r="M25" s="6"/>
      <c r="N25" s="6"/>
      <c r="O25" s="6"/>
      <c r="P25" s="6"/>
      <c r="Q25" s="6"/>
      <c r="R25" s="6"/>
      <c r="S25" s="6"/>
      <c r="T25" s="6"/>
      <c r="U25" s="6"/>
      <c r="V25" s="6"/>
    </row>
    <row r="26" customFormat="false" ht="31.5" hidden="false" customHeight="true" outlineLevel="0" collapsed="false">
      <c r="A26" s="7" t="s">
        <v>90</v>
      </c>
      <c r="B26" s="7" t="s">
        <v>84</v>
      </c>
      <c r="C26" s="7"/>
      <c r="D26" s="7" t="s">
        <v>91</v>
      </c>
      <c r="E26" s="7" t="s">
        <v>92</v>
      </c>
      <c r="F26" s="7" t="n">
        <v>1</v>
      </c>
      <c r="G26" s="7" t="s">
        <v>21</v>
      </c>
      <c r="H26" s="7"/>
      <c r="I26" s="7"/>
      <c r="J26" s="7"/>
      <c r="K26" s="7"/>
      <c r="L26" s="8" t="s">
        <v>17</v>
      </c>
      <c r="M26" s="6"/>
      <c r="N26" s="6"/>
      <c r="O26" s="6"/>
      <c r="P26" s="6"/>
      <c r="Q26" s="6"/>
      <c r="R26" s="6"/>
      <c r="S26" s="6"/>
      <c r="T26" s="6"/>
      <c r="U26" s="6"/>
      <c r="V26" s="6"/>
    </row>
    <row r="27" customFormat="false" ht="16.5" hidden="false" customHeight="true" outlineLevel="0" collapsed="false">
      <c r="A27" s="7" t="s">
        <v>93</v>
      </c>
      <c r="B27" s="7" t="s">
        <v>84</v>
      </c>
      <c r="C27" s="10" t="s">
        <v>94</v>
      </c>
      <c r="D27" s="7"/>
      <c r="E27" s="7"/>
      <c r="F27" s="7"/>
      <c r="G27" s="7"/>
      <c r="H27" s="7"/>
      <c r="I27" s="7"/>
      <c r="J27" s="7"/>
      <c r="K27" s="7"/>
      <c r="L27" s="11" t="n">
        <v>46316</v>
      </c>
      <c r="M27" s="6"/>
      <c r="N27" s="6"/>
      <c r="O27" s="6"/>
      <c r="P27" s="6"/>
      <c r="Q27" s="6"/>
      <c r="R27" s="6"/>
      <c r="S27" s="6"/>
      <c r="T27" s="6"/>
      <c r="U27" s="6"/>
      <c r="V27" s="6"/>
    </row>
    <row r="28" customFormat="false" ht="31.5" hidden="false" customHeight="true" outlineLevel="0" collapsed="false">
      <c r="A28" s="7" t="s">
        <v>95</v>
      </c>
      <c r="B28" s="7" t="s">
        <v>96</v>
      </c>
      <c r="C28" s="7"/>
      <c r="D28" s="7" t="s">
        <v>97</v>
      </c>
      <c r="E28" s="7" t="s">
        <v>98</v>
      </c>
      <c r="F28" s="7" t="n">
        <v>1.5</v>
      </c>
      <c r="G28" s="7" t="s">
        <v>21</v>
      </c>
      <c r="H28" s="8" t="s">
        <v>17</v>
      </c>
      <c r="I28" s="8" t="s">
        <v>17</v>
      </c>
      <c r="J28" s="8" t="s">
        <v>17</v>
      </c>
      <c r="K28" s="8" t="s">
        <v>17</v>
      </c>
      <c r="L28" s="8" t="s">
        <v>17</v>
      </c>
      <c r="M28" s="6"/>
      <c r="N28" s="6"/>
      <c r="O28" s="6"/>
      <c r="P28" s="6"/>
      <c r="Q28" s="6"/>
      <c r="R28" s="6"/>
      <c r="S28" s="6"/>
      <c r="T28" s="6"/>
      <c r="U28" s="6"/>
      <c r="V28" s="6"/>
    </row>
    <row r="29" customFormat="false" ht="14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customFormat="false" ht="15.75" hidden="false" customHeight="true" outlineLevel="0" collapsed="false">
      <c r="A30" s="7"/>
      <c r="B30" s="7"/>
      <c r="C30" s="7"/>
      <c r="D30" s="12" t="s">
        <v>99</v>
      </c>
      <c r="E30" s="7"/>
      <c r="F30" s="13" t="n">
        <f aca="false">SUM(F2:F28)</f>
        <v>40</v>
      </c>
      <c r="G30" s="7"/>
      <c r="H30" s="7"/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customFormat="false" ht="15.75" hidden="false" customHeight="true" outlineLevel="0" collapsed="false">
      <c r="A31" s="7"/>
      <c r="B31" s="7"/>
      <c r="C31" s="7"/>
      <c r="D31" s="7" t="s">
        <v>100</v>
      </c>
      <c r="E31" s="7"/>
      <c r="F31" s="14" t="n">
        <f aca="false">SUMIF(G2:G28,"Lucas",F2:F28)+SUMIF(G2:G28,"beide",F2:F28)/2</f>
        <v>24.25</v>
      </c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customFormat="false" ht="15.75" hidden="false" customHeight="true" outlineLevel="0" collapsed="false">
      <c r="A32" s="7"/>
      <c r="B32" s="7"/>
      <c r="C32" s="7"/>
      <c r="D32" s="7" t="s">
        <v>101</v>
      </c>
      <c r="E32" s="7"/>
      <c r="F32" s="14" t="n">
        <f aca="false">SUMIF(G2:G28,"Nicolas",F2:F28)+SUMIF(G2:G28,"beide",F2:F28)/2</f>
        <v>15.75</v>
      </c>
      <c r="G32" s="7"/>
      <c r="H32" s="7"/>
      <c r="I32" s="7"/>
      <c r="J32" s="7"/>
      <c r="K32" s="7"/>
      <c r="L32" s="7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customFormat="false" ht="14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customFormat="false" ht="15.75" hidden="false" customHeight="true" outlineLevel="0" collapsed="false">
      <c r="A34" s="7"/>
      <c r="B34" s="15" t="s">
        <v>102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customFormat="false" ht="15.75" hidden="false" customHeight="true" outlineLevel="0" collapsed="false">
      <c r="A35" s="7"/>
      <c r="B35" s="15" t="s">
        <v>103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customFormat="false" ht="15.75" hidden="false" customHeight="true" outlineLevel="0" collapsed="false">
      <c r="A36" s="7"/>
      <c r="B36" s="15" t="s">
        <v>104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customFormat="false" ht="14.25" hidden="false" customHeight="true" outlineLevel="0" collapsed="false">
      <c r="A37" s="7"/>
      <c r="B37" s="15" t="s">
        <v>105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customFormat="false" ht="14.2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customFormat="false" ht="14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customFormat="false" ht="14.2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customFormat="false" ht="14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customFormat="false" ht="14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customFormat="false" ht="14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customFormat="false" ht="14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customFormat="false" ht="14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customFormat="false" ht="14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customFormat="false" ht="14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customFormat="false" ht="14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customFormat="false" ht="14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customFormat="false" ht="14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customFormat="false" ht="14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customFormat="false" ht="14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customFormat="false" ht="14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customFormat="false" ht="14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customFormat="false" ht="14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customFormat="false" ht="14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customFormat="false" ht="14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customFormat="false" ht="14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customFormat="false" ht="14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customFormat="false" ht="14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customFormat="false" ht="14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customFormat="false" ht="14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customFormat="false" ht="14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customFormat="false" ht="14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customFormat="false" ht="14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customFormat="false" ht="14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customFormat="false" ht="14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customFormat="false" ht="14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customFormat="false" ht="14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customFormat="false" ht="14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customFormat="false" ht="14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customFormat="false" ht="14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customFormat="false" ht="14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customFormat="false" ht="14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customFormat="false" ht="14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customFormat="false" ht="14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customFormat="false" ht="14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customFormat="false" ht="14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customFormat="false" ht="14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customFormat="false" ht="14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customFormat="false" ht="14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customFormat="false" ht="14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customFormat="false" ht="14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customFormat="false" ht="14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customFormat="false" ht="14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customFormat="false" ht="14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customFormat="false" ht="14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customFormat="false" ht="14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customFormat="false" ht="14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customFormat="false" ht="14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customFormat="false" ht="14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customFormat="false" ht="14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customFormat="false" ht="14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customFormat="false" ht="14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customFormat="false" ht="14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customFormat="false" ht="14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customFormat="false" ht="14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customFormat="false" ht="14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customFormat="false" ht="14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customFormat="false" ht="14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customFormat="false" ht="14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customFormat="false" ht="14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customFormat="false" ht="14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customFormat="false" ht="14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customFormat="false" ht="14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customFormat="false" ht="14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customFormat="false" ht="14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customFormat="false" ht="14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customFormat="false" ht="14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customFormat="false" ht="14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customFormat="false" ht="14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customFormat="false" ht="14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customFormat="false" ht="14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customFormat="false" ht="14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customFormat="false" ht="14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customFormat="false" ht="14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customFormat="false" ht="14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customFormat="false" ht="14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customFormat="false" ht="14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customFormat="false" ht="14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customFormat="false" ht="14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customFormat="false" ht="14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customFormat="false" ht="14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customFormat="false" ht="14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customFormat="false" ht="14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customFormat="false" ht="14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customFormat="false" ht="14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customFormat="false" ht="14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customFormat="false" ht="14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customFormat="false" ht="14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customFormat="false" ht="14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customFormat="false" ht="14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customFormat="false" ht="14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customFormat="false" ht="14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customFormat="false" ht="14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customFormat="false" ht="14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customFormat="false" ht="14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customFormat="false" ht="14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customFormat="false" ht="14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customFormat="false" ht="14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customFormat="false" ht="14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customFormat="false" ht="14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customFormat="false" ht="14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customFormat="false" ht="14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customFormat="false" ht="14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customFormat="false" ht="14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customFormat="false" ht="14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customFormat="false" ht="14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customFormat="false" ht="14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customFormat="false" ht="14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customFormat="false" ht="14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customFormat="false" ht="14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customFormat="false" ht="14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customFormat="false" ht="14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customFormat="false" ht="14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customFormat="false" ht="14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customFormat="false" ht="14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customFormat="false" ht="14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customFormat="false" ht="14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customFormat="false" ht="14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customFormat="false" ht="14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customFormat="false" ht="14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customFormat="false" ht="14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customFormat="false" ht="14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customFormat="false" ht="14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customFormat="false" ht="14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customFormat="false" ht="14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customFormat="false" ht="14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customFormat="false" ht="14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customFormat="false" ht="14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customFormat="false" ht="14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customFormat="false" ht="14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customFormat="false" ht="14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customFormat="false" ht="14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customFormat="false" ht="14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customFormat="false" ht="14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customFormat="false" ht="14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customFormat="false" ht="14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customFormat="false" ht="14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customFormat="false" ht="14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customFormat="false" ht="14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customFormat="false" ht="14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customFormat="false" ht="14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customFormat="false" ht="14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customFormat="false" ht="14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customFormat="false" ht="14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customFormat="false" ht="14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customFormat="false" ht="14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customFormat="false" ht="14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customFormat="false" ht="14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customFormat="false" ht="14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customFormat="false" ht="14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customFormat="false" ht="14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customFormat="false" ht="14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customFormat="false" ht="14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customFormat="false" ht="14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customFormat="false" ht="14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customFormat="false" ht="14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customFormat="false" ht="14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customFormat="false" ht="14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customFormat="false" ht="14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customFormat="false" ht="14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customFormat="false" ht="14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customFormat="false" ht="14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customFormat="false" ht="14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customFormat="false" ht="14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customFormat="false" ht="14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customFormat="false" ht="14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customFormat="false" ht="14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customFormat="false" ht="14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customFormat="false" ht="14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customFormat="false" ht="14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customFormat="false" ht="14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customFormat="false" ht="14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customFormat="false" ht="14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customFormat="false" ht="14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customFormat="false" ht="14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customFormat="false" ht="14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customFormat="false" ht="14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customFormat="false" ht="14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customFormat="false" ht="14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customFormat="false" ht="14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customFormat="false" ht="14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customFormat="false" ht="14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customFormat="false" ht="14.2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customFormat="false" ht="14.2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customFormat="false" ht="14.2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customFormat="false" ht="14.2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customFormat="false" ht="14.2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customFormat="false" ht="14.2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customFormat="false" ht="14.2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customFormat="false" ht="14.2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customFormat="false" ht="14.2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customFormat="false" ht="14.2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customFormat="false" ht="14.2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customFormat="false" ht="14.2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customFormat="false" ht="14.2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customFormat="false" ht="14.2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customFormat="false" ht="14.2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customFormat="false" ht="14.2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customFormat="false" ht="14.2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customFormat="false" ht="14.2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customFormat="false" ht="14.2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customFormat="false" ht="14.2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customFormat="false" ht="14.2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customFormat="false" ht="14.2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customFormat="false" ht="14.2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customFormat="false" ht="14.2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customFormat="false" ht="14.2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customFormat="false" ht="14.2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customFormat="false" ht="14.2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customFormat="false" ht="14.2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customFormat="false" ht="14.2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customFormat="false" ht="14.2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customFormat="false" ht="14.2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customFormat="false" ht="14.2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customFormat="false" ht="14.2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customFormat="false" ht="14.2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customFormat="false" ht="14.2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customFormat="false" ht="14.2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customFormat="false" ht="14.2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customFormat="false" ht="14.2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customFormat="false" ht="14.2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customFormat="false" ht="14.2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customFormat="false" ht="14.2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customFormat="false" ht="14.2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customFormat="false" ht="14.2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customFormat="false" ht="14.2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customFormat="false" ht="14.2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customFormat="false" ht="14.2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customFormat="false" ht="14.2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customFormat="false" ht="14.2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customFormat="false" ht="14.2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customFormat="false" ht="14.2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customFormat="false" ht="14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customFormat="false" ht="14.2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customFormat="false" ht="14.2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customFormat="false" ht="14.2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customFormat="false" ht="14.2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customFormat="false" ht="14.2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customFormat="false" ht="14.2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customFormat="false" ht="14.2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customFormat="false" ht="14.2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customFormat="false" ht="14.2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customFormat="false" ht="14.2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customFormat="false" ht="14.2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customFormat="false" ht="14.2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customFormat="false" ht="14.2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customFormat="false" ht="14.2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customFormat="false" ht="14.2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customFormat="false" ht="14.2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customFormat="false" ht="14.2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customFormat="false" ht="14.2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customFormat="false" ht="14.2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customFormat="false" ht="14.2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customFormat="false" ht="14.2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customFormat="false" ht="14.2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customFormat="false" ht="14.2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customFormat="false" ht="14.2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customFormat="false" ht="14.2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customFormat="false" ht="14.2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customFormat="false" ht="14.2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customFormat="false" ht="14.2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customFormat="false" ht="14.2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customFormat="false" ht="14.2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customFormat="false" ht="14.2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customFormat="false" ht="14.2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customFormat="false" ht="14.2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customFormat="false" ht="14.2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customFormat="false" ht="14.2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customFormat="false" ht="14.2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customFormat="false" ht="14.2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customFormat="false" ht="14.2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customFormat="false" ht="14.2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customFormat="false" ht="14.2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customFormat="false" ht="14.2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customFormat="false" ht="14.2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customFormat="false" ht="14.2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customFormat="false" ht="14.2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customFormat="false" ht="14.2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customFormat="false" ht="14.2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customFormat="false" ht="14.2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customFormat="false" ht="14.2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customFormat="false" ht="14.2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customFormat="false" ht="14.2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customFormat="false" ht="14.2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customFormat="false" ht="14.2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customFormat="false" ht="14.2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customFormat="false" ht="14.2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customFormat="false" ht="14.2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customFormat="false" ht="14.2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customFormat="false" ht="14.2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customFormat="false" ht="14.2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customFormat="false" ht="14.2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customFormat="false" ht="14.2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customFormat="false" ht="14.2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customFormat="false" ht="14.2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customFormat="false" ht="14.2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customFormat="false" ht="14.2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customFormat="false" ht="14.2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customFormat="false" ht="14.2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customFormat="false" ht="14.2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customFormat="false" ht="14.2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customFormat="false" ht="14.2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customFormat="false" ht="14.2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customFormat="false" ht="14.2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customFormat="false" ht="14.2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customFormat="false" ht="14.2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customFormat="false" ht="14.2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customFormat="false" ht="14.2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customFormat="false" ht="14.2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customFormat="false" ht="14.2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customFormat="false" ht="14.2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customFormat="false" ht="14.2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customFormat="false" ht="14.2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customFormat="false" ht="14.2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customFormat="false" ht="14.2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customFormat="false" ht="14.2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customFormat="false" ht="14.2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customFormat="false" ht="14.2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customFormat="false" ht="14.2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customFormat="false" ht="14.2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customFormat="false" ht="14.2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customFormat="false" ht="14.2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customFormat="false" ht="14.2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customFormat="false" ht="14.2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customFormat="false" ht="14.2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customFormat="false" ht="14.2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customFormat="false" ht="14.2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customFormat="false" ht="14.2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customFormat="false" ht="14.2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customFormat="false" ht="14.2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customFormat="false" ht="14.2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customFormat="false" ht="14.2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customFormat="false" ht="14.2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customFormat="false" ht="14.2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customFormat="false" ht="14.2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customFormat="false" ht="14.2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customFormat="false" ht="14.2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customFormat="false" ht="14.2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customFormat="false" ht="14.2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customFormat="false" ht="14.2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customFormat="false" ht="14.2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customFormat="false" ht="14.2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customFormat="false" ht="14.2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customFormat="false" ht="14.2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customFormat="false" ht="14.2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customFormat="false" ht="14.2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customFormat="false" ht="14.2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customFormat="false" ht="14.2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customFormat="false" ht="14.2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customFormat="false" ht="14.2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customFormat="false" ht="14.2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customFormat="false" ht="14.2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customFormat="false" ht="14.2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customFormat="false" ht="14.2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customFormat="false" ht="14.2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customFormat="false" ht="14.2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customFormat="false" ht="14.2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customFormat="false" ht="14.2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customFormat="false" ht="14.2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customFormat="false" ht="14.2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customFormat="false" ht="14.2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customFormat="false" ht="14.2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customFormat="false" ht="14.2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customFormat="false" ht="14.2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customFormat="false" ht="14.2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customFormat="false" ht="14.2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customFormat="false" ht="14.2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customFormat="false" ht="14.2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customFormat="false" ht="14.2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customFormat="false" ht="14.2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customFormat="false" ht="14.2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customFormat="false" ht="14.2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customFormat="false" ht="14.2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customFormat="false" ht="14.2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customFormat="false" ht="14.2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customFormat="false" ht="14.2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customFormat="false" ht="14.2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customFormat="false" ht="14.2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customFormat="false" ht="14.2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customFormat="false" ht="14.2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customFormat="false" ht="14.2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customFormat="false" ht="14.2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customFormat="false" ht="14.2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customFormat="false" ht="14.2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customFormat="false" ht="14.2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customFormat="false" ht="14.2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customFormat="false" ht="14.2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customFormat="false" ht="14.2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customFormat="false" ht="14.2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customFormat="false" ht="14.2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customFormat="false" ht="14.2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customFormat="false" ht="14.2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customFormat="false" ht="14.2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customFormat="false" ht="14.2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customFormat="false" ht="14.2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customFormat="false" ht="14.2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customFormat="false" ht="14.2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customFormat="false" ht="14.2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customFormat="false" ht="14.2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customFormat="false" ht="14.2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customFormat="false" ht="14.2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customFormat="false" ht="14.2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customFormat="false" ht="14.2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customFormat="false" ht="14.2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customFormat="false" ht="14.2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customFormat="false" ht="14.2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customFormat="false" ht="14.2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customFormat="false" ht="14.2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customFormat="false" ht="14.2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customFormat="false" ht="14.2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customFormat="false" ht="14.2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customFormat="false" ht="14.2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customFormat="false" ht="14.2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customFormat="false" ht="14.2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customFormat="false" ht="14.2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customFormat="false" ht="14.2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customFormat="false" ht="14.2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customFormat="false" ht="14.2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customFormat="false" ht="14.2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customFormat="false" ht="14.2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customFormat="false" ht="14.2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customFormat="false" ht="14.2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customFormat="false" ht="14.2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customFormat="false" ht="14.2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customFormat="false" ht="14.2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customFormat="false" ht="14.2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customFormat="false" ht="14.2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customFormat="false" ht="14.2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customFormat="false" ht="14.2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customFormat="false" ht="14.2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customFormat="false" ht="14.2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customFormat="false" ht="14.2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customFormat="false" ht="14.2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customFormat="false" ht="14.2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customFormat="false" ht="14.2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customFormat="false" ht="14.2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customFormat="false" ht="14.2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customFormat="false" ht="14.2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customFormat="false" ht="14.2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customFormat="false" ht="14.2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customFormat="false" ht="14.2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customFormat="false" ht="14.2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customFormat="false" ht="14.2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customFormat="false" ht="14.2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customFormat="false" ht="14.2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customFormat="false" ht="14.2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customFormat="false" ht="14.2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customFormat="false" ht="14.2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customFormat="false" ht="14.2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customFormat="false" ht="14.2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customFormat="false" ht="14.2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customFormat="false" ht="14.2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customFormat="false" ht="14.2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customFormat="false" ht="14.2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customFormat="false" ht="14.2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customFormat="false" ht="14.2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customFormat="false" ht="14.2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customFormat="false" ht="14.2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customFormat="false" ht="14.2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customFormat="false" ht="14.2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customFormat="false" ht="14.2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customFormat="false" ht="14.2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customFormat="false" ht="14.2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customFormat="false" ht="14.2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customFormat="false" ht="14.2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customFormat="false" ht="14.2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customFormat="false" ht="14.2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customFormat="false" ht="14.2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customFormat="false" ht="14.2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customFormat="false" ht="14.2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customFormat="false" ht="14.2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customFormat="false" ht="14.2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customFormat="false" ht="14.2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customFormat="false" ht="14.2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customFormat="false" ht="14.2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customFormat="false" ht="14.2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customFormat="false" ht="14.2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customFormat="false" ht="14.2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customFormat="false" ht="14.2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customFormat="false" ht="14.2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customFormat="false" ht="14.2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customFormat="false" ht="14.2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customFormat="false" ht="14.2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customFormat="false" ht="14.2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customFormat="false" ht="14.2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customFormat="false" ht="14.2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customFormat="false" ht="14.2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customFormat="false" ht="14.2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customFormat="false" ht="14.2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customFormat="false" ht="14.2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customFormat="false" ht="14.2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customFormat="false" ht="14.2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customFormat="false" ht="14.2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customFormat="false" ht="14.2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customFormat="false" ht="14.2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customFormat="false" ht="14.2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customFormat="false" ht="14.2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customFormat="false" ht="14.2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customFormat="false" ht="14.2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customFormat="false" ht="14.2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customFormat="false" ht="14.2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customFormat="false" ht="14.2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customFormat="false" ht="14.2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customFormat="false" ht="14.2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customFormat="false" ht="14.2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customFormat="false" ht="14.2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customFormat="false" ht="14.2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customFormat="false" ht="14.2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customFormat="false" ht="14.2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customFormat="false" ht="14.2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customFormat="false" ht="14.2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customFormat="false" ht="14.2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customFormat="false" ht="14.2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customFormat="false" ht="14.2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customFormat="false" ht="14.2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customFormat="false" ht="14.2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customFormat="false" ht="14.2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customFormat="false" ht="14.2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customFormat="false" ht="14.2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customFormat="false" ht="14.2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customFormat="false" ht="14.2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customFormat="false" ht="14.2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customFormat="false" ht="14.2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customFormat="false" ht="14.2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customFormat="false" ht="14.2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customFormat="false" ht="14.2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customFormat="false" ht="14.2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customFormat="false" ht="14.2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customFormat="false" ht="14.2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customFormat="false" ht="14.2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customFormat="false" ht="14.2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customFormat="false" ht="14.2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customFormat="false" ht="14.2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customFormat="false" ht="14.2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customFormat="false" ht="14.2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customFormat="false" ht="14.2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customFormat="false" ht="14.2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customFormat="false" ht="14.2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customFormat="false" ht="14.2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customFormat="false" ht="14.2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customFormat="false" ht="14.2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customFormat="false" ht="14.2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customFormat="false" ht="14.2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customFormat="false" ht="14.2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customFormat="false" ht="14.2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customFormat="false" ht="14.2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customFormat="false" ht="14.2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customFormat="false" ht="14.2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customFormat="false" ht="14.2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customFormat="false" ht="14.2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customFormat="false" ht="14.2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customFormat="false" ht="14.2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customFormat="false" ht="14.2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customFormat="false" ht="14.2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customFormat="false" ht="14.2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customFormat="false" ht="14.2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customFormat="false" ht="14.2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customFormat="false" ht="14.2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customFormat="false" ht="14.2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customFormat="false" ht="14.2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customFormat="false" ht="14.2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customFormat="false" ht="14.2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customFormat="false" ht="14.2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customFormat="false" ht="14.2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customFormat="false" ht="14.2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customFormat="false" ht="14.2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customFormat="false" ht="14.2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customFormat="false" ht="14.2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customFormat="false" ht="14.2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customFormat="false" ht="14.2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customFormat="false" ht="14.2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customFormat="false" ht="14.2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customFormat="false" ht="14.2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customFormat="false" ht="14.2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customFormat="false" ht="14.2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customFormat="false" ht="14.2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customFormat="false" ht="14.2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customFormat="false" ht="14.2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customFormat="false" ht="14.2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customFormat="false" ht="14.2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customFormat="false" ht="14.2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customFormat="false" ht="14.2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customFormat="false" ht="14.2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customFormat="false" ht="14.2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customFormat="false" ht="14.2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customFormat="false" ht="14.2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customFormat="false" ht="14.2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customFormat="false" ht="14.2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customFormat="false" ht="14.2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customFormat="false" ht="14.2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customFormat="false" ht="14.2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customFormat="false" ht="14.2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customFormat="false" ht="14.2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customFormat="false" ht="14.2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customFormat="false" ht="14.2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customFormat="false" ht="14.2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customFormat="false" ht="14.2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customFormat="false" ht="14.2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customFormat="false" ht="14.2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customFormat="false" ht="14.2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customFormat="false" ht="14.2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customFormat="false" ht="14.2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customFormat="false" ht="14.2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customFormat="false" ht="14.2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customFormat="false" ht="14.2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customFormat="false" ht="14.2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customFormat="false" ht="14.2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customFormat="false" ht="14.2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customFormat="false" ht="14.2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customFormat="false" ht="14.2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customFormat="false" ht="14.2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customFormat="false" ht="14.2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customFormat="false" ht="14.2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customFormat="false" ht="14.2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customFormat="false" ht="14.2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customFormat="false" ht="14.2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customFormat="false" ht="14.2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customFormat="false" ht="14.2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customFormat="false" ht="14.2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customFormat="false" ht="14.2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customFormat="false" ht="14.2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customFormat="false" ht="14.2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customFormat="false" ht="14.2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customFormat="false" ht="14.2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customFormat="false" ht="14.2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customFormat="false" ht="14.2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customFormat="false" ht="14.2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customFormat="false" ht="14.2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customFormat="false" ht="14.2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customFormat="false" ht="14.2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customFormat="false" ht="14.2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customFormat="false" ht="14.2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customFormat="false" ht="14.2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customFormat="false" ht="14.2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customFormat="false" ht="14.2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customFormat="false" ht="14.2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customFormat="false" ht="14.2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customFormat="false" ht="14.2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customFormat="false" ht="14.2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customFormat="false" ht="14.2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customFormat="false" ht="14.2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customFormat="false" ht="14.2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customFormat="false" ht="14.2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customFormat="false" ht="14.2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customFormat="false" ht="14.2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customFormat="false" ht="14.2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customFormat="false" ht="14.2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customFormat="false" ht="14.2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customFormat="false" ht="14.2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customFormat="false" ht="14.2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customFormat="false" ht="14.2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customFormat="false" ht="14.2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customFormat="false" ht="14.2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customFormat="false" ht="14.2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customFormat="false" ht="14.2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customFormat="false" ht="14.2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customFormat="false" ht="14.2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customFormat="false" ht="14.2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customFormat="false" ht="14.2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customFormat="false" ht="14.2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customFormat="false" ht="14.2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customFormat="false" ht="14.2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customFormat="false" ht="14.2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customFormat="false" ht="14.2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customFormat="false" ht="14.2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customFormat="false" ht="14.2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customFormat="false" ht="14.2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customFormat="false" ht="14.2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customFormat="false" ht="14.2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customFormat="false" ht="14.2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customFormat="false" ht="14.2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customFormat="false" ht="14.2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customFormat="false" ht="14.2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customFormat="false" ht="14.2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customFormat="false" ht="14.2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customFormat="false" ht="14.2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customFormat="false" ht="14.2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customFormat="false" ht="14.2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customFormat="false" ht="14.2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customFormat="false" ht="14.2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customFormat="false" ht="14.2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customFormat="false" ht="14.2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customFormat="false" ht="14.2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customFormat="false" ht="14.2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customFormat="false" ht="14.2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customFormat="false" ht="14.2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customFormat="false" ht="14.2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customFormat="false" ht="14.2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customFormat="false" ht="14.2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customFormat="false" ht="14.2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customFormat="false" ht="14.2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customFormat="false" ht="14.2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customFormat="false" ht="14.2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customFormat="false" ht="14.2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customFormat="false" ht="14.2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customFormat="false" ht="14.2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customFormat="false" ht="14.2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customFormat="false" ht="14.2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customFormat="false" ht="14.2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customFormat="false" ht="14.2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customFormat="false" ht="14.2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customFormat="false" ht="14.2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customFormat="false" ht="14.2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customFormat="false" ht="14.2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customFormat="false" ht="14.2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customFormat="false" ht="14.2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customFormat="false" ht="14.2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customFormat="false" ht="14.2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customFormat="false" ht="14.2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customFormat="false" ht="14.2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customFormat="false" ht="14.2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customFormat="false" ht="14.2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customFormat="false" ht="14.2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customFormat="false" ht="14.2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customFormat="false" ht="14.2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customFormat="false" ht="14.2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customFormat="false" ht="14.2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customFormat="false" ht="14.2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customFormat="false" ht="14.2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customFormat="false" ht="14.2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customFormat="false" ht="14.2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customFormat="false" ht="14.2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customFormat="false" ht="14.2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customFormat="false" ht="14.2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customFormat="false" ht="14.2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customFormat="false" ht="14.2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customFormat="false" ht="14.2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customFormat="false" ht="14.2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customFormat="false" ht="14.2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customFormat="false" ht="14.2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customFormat="false" ht="14.2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customFormat="false" ht="14.2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customFormat="false" ht="14.2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customFormat="false" ht="14.2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customFormat="false" ht="14.2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customFormat="false" ht="14.2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customFormat="false" ht="14.2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customFormat="false" ht="14.2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customFormat="false" ht="14.2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customFormat="false" ht="14.2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customFormat="false" ht="14.2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customFormat="false" ht="14.2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customFormat="false" ht="14.2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customFormat="false" ht="14.2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customFormat="false" ht="14.2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customFormat="false" ht="14.2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customFormat="false" ht="14.2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customFormat="false" ht="14.2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customFormat="false" ht="14.2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customFormat="false" ht="14.2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customFormat="false" ht="14.2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customFormat="false" ht="14.2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customFormat="false" ht="14.2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customFormat="false" ht="14.2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customFormat="false" ht="14.2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customFormat="false" ht="14.2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customFormat="false" ht="14.2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customFormat="false" ht="14.2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customFormat="false" ht="14.2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customFormat="false" ht="14.2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customFormat="false" ht="14.2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customFormat="false" ht="14.2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customFormat="false" ht="14.2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customFormat="false" ht="14.2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customFormat="false" ht="14.2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customFormat="false" ht="14.2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customFormat="false" ht="14.2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customFormat="false" ht="14.2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customFormat="false" ht="14.2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customFormat="false" ht="14.2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customFormat="false" ht="14.2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customFormat="false" ht="14.2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customFormat="false" ht="14.2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customFormat="false" ht="14.2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customFormat="false" ht="14.2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customFormat="false" ht="14.2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customFormat="false" ht="14.2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customFormat="false" ht="14.2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customFormat="false" ht="14.2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customFormat="false" ht="14.2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customFormat="false" ht="14.2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customFormat="false" ht="14.2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customFormat="false" ht="14.2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customFormat="false" ht="14.2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customFormat="false" ht="14.2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customFormat="false" ht="14.2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customFormat="false" ht="14.2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customFormat="false" ht="14.2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customFormat="false" ht="14.2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customFormat="false" ht="14.2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customFormat="false" ht="14.2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customFormat="false" ht="14.2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customFormat="false" ht="14.2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customFormat="false" ht="14.2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customFormat="false" ht="14.2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customFormat="false" ht="14.2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customFormat="false" ht="14.2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customFormat="false" ht="14.2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customFormat="false" ht="14.2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customFormat="false" ht="14.2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customFormat="false" ht="14.2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customFormat="false" ht="14.2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customFormat="false" ht="14.2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customFormat="false" ht="14.2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customFormat="false" ht="14.2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customFormat="false" ht="14.2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customFormat="false" ht="14.2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customFormat="false" ht="14.2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customFormat="false" ht="14.2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customFormat="false" ht="14.2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customFormat="false" ht="14.2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customFormat="false" ht="14.2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customFormat="false" ht="14.2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customFormat="false" ht="14.2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customFormat="false" ht="14.2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customFormat="false" ht="14.2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customFormat="false" ht="14.2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customFormat="false" ht="14.2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customFormat="false" ht="14.2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customFormat="false" ht="14.2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customFormat="false" ht="14.2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customFormat="false" ht="14.2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customFormat="false" ht="14.2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customFormat="false" ht="14.2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customFormat="false" ht="14.2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customFormat="false" ht="14.2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customFormat="false" ht="14.2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customFormat="false" ht="14.2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customFormat="false" ht="14.2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customFormat="false" ht="14.2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customFormat="false" ht="14.2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customFormat="false" ht="14.2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customFormat="false" ht="14.2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customFormat="false" ht="14.2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customFormat="false" ht="14.2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customFormat="false" ht="14.2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customFormat="false" ht="14.2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customFormat="false" ht="14.2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customFormat="false" ht="14.2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customFormat="false" ht="14.2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customFormat="false" ht="14.2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customFormat="false" ht="14.2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customFormat="false" ht="14.2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customFormat="false" ht="14.2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customFormat="false" ht="14.2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customFormat="false" ht="14.2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customFormat="false" ht="14.2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customFormat="false" ht="14.2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customFormat="false" ht="14.2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customFormat="false" ht="14.2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customFormat="false" ht="14.2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customFormat="false" ht="14.2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customFormat="false" ht="14.2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customFormat="false" ht="14.2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customFormat="false" ht="14.2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customFormat="false" ht="14.2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customFormat="false" ht="14.2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customFormat="false" ht="14.2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customFormat="false" ht="14.2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customFormat="false" ht="14.2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customFormat="false" ht="14.2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customFormat="false" ht="14.2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customFormat="false" ht="14.2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customFormat="false" ht="14.2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customFormat="false" ht="14.2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customFormat="false" ht="14.2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customFormat="false" ht="14.2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customFormat="false" ht="14.2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customFormat="false" ht="14.2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customFormat="false" ht="14.2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customFormat="false" ht="14.2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customFormat="false" ht="14.2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customFormat="false" ht="14.2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customFormat="false" ht="14.2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customFormat="false" ht="14.2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customFormat="false" ht="14.2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customFormat="false" ht="14.2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customFormat="false" ht="14.2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customFormat="false" ht="14.2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customFormat="false" ht="14.2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customFormat="false" ht="14.2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customFormat="false" ht="14.2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customFormat="false" ht="14.2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customFormat="false" ht="14.2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customFormat="false" ht="14.2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customFormat="false" ht="14.2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customFormat="false" ht="14.2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customFormat="false" ht="14.2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customFormat="false" ht="14.2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customFormat="false" ht="14.2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customFormat="false" ht="14.2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customFormat="false" ht="14.2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customFormat="false" ht="14.2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customFormat="false" ht="14.2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customFormat="false" ht="14.2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customFormat="false" ht="14.2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customFormat="false" ht="14.2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customFormat="false" ht="14.2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customFormat="false" ht="14.2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customFormat="false" ht="14.2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customFormat="false" ht="14.2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customFormat="false" ht="14.2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customFormat="false" ht="14.2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customFormat="false" ht="14.2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customFormat="false" ht="14.2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customFormat="false" ht="14.2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customFormat="false" ht="14.2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customFormat="false" ht="14.2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customFormat="false" ht="14.2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customFormat="false" ht="14.2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customFormat="false" ht="14.2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customFormat="false" ht="14.2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customFormat="false" ht="14.2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customFormat="false" ht="14.2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customFormat="false" ht="14.2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customFormat="false" ht="14.2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customFormat="false" ht="14.2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customFormat="false" ht="14.2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customFormat="false" ht="14.2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customFormat="false" ht="14.2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customFormat="false" ht="14.2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customFormat="false" ht="14.2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customFormat="false" ht="14.2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customFormat="false" ht="14.2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customFormat="false" ht="14.2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customFormat="false" ht="14.2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customFormat="false" ht="14.2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customFormat="false" ht="14.2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customFormat="false" ht="14.2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customFormat="false" ht="14.2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customFormat="false" ht="14.2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customFormat="false" ht="14.2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customFormat="false" ht="14.2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customFormat="false" ht="14.2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customFormat="false" ht="14.2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customFormat="false" ht="14.2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customFormat="false" ht="14.2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customFormat="false" ht="14.2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customFormat="false" ht="14.2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customFormat="false" ht="14.2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customFormat="false" ht="14.2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customFormat="false" ht="14.2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customFormat="false" ht="14.2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customFormat="false" ht="14.2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customFormat="false" ht="14.2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customFormat="false" ht="14.2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customFormat="false" ht="14.2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customFormat="false" ht="14.2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customFormat="false" ht="14.2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customFormat="false" ht="14.2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customFormat="false" ht="14.2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customFormat="false" ht="14.2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customFormat="false" ht="14.2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customFormat="false" ht="14.2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customFormat="false" ht="14.2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customFormat="false" ht="14.2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customFormat="false" ht="14.2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customFormat="false" ht="14.2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customFormat="false" ht="14.25" hidden="false" customHeight="tru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customFormat="false" ht="14.25" hidden="false" customHeight="true" outlineLevel="0" collapsed="false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customFormat="false" ht="14.25" hidden="false" customHeight="true" outlineLevel="0" collapsed="false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customFormat="false" ht="14.25" hidden="false" customHeight="true" outlineLevel="0" collapsed="false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customFormat="false" ht="14.25" hidden="false" customHeight="true" outlineLevel="0" collapsed="false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customFormat="false" ht="14.25" hidden="false" customHeight="true" outlineLevel="0" collapsed="false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</sheetData>
  <printOptions headings="false" gridLines="false" gridLinesSet="true" horizontalCentered="false" verticalCentered="false"/>
  <pageMargins left="0.5" right="0.5" top="0.75" bottom="0.75" header="0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&amp;CM306 – Projektplanung | Hunger, Weisshaar</oddHeader>
    <oddFooter>&amp;LVersion 0.1 | 12.10.2026&amp;RSeite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2024-09-03T06:00:47Z</dcterms:created>
  <dc:creator>Bisig Beat</dc:creator>
  <dc:description/>
  <dc:language>en-US</dc:language>
  <cp:lastModifiedBy/>
  <dcterms:modified xsi:type="dcterms:W3CDTF">2026-10-03T12:02:08Z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